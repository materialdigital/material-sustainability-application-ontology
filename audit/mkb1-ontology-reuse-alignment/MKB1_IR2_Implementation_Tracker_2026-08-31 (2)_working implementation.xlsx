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IR2 Tracker" sheetId="2" state="visible" r:id="rId2"/>
    <sheet name="Class Review" sheetId="3" state="visible" r:id="rId3"/>
    <sheet name="Handoffs" sheetId="4" state="visible" r:id="rId4"/>
  </sheets>
  <definedNames/>
</workbook>
</file>

<file path=xl/styles.xml><?xml version="1.0" encoding="utf-8"?>
<styleSheet xmlns="http://schemas.openxmlformats.org/spreadsheetml/2006/main">
  <numFmts count="0"/>
  <fonts count="8">
    <font>
      <name val="Carlito"/>
      <sz val="11"/>
    </font>
    <font>
      <name val="Carlito"/>
      <b val="1"/>
      <color rgb="FFFFFFFF"/>
      <sz val="11"/>
    </font>
    <font>
      <name val="Carlito"/>
      <b val="1"/>
      <color rgb="FF17365D"/>
      <sz val="11"/>
    </font>
    <font>
      <name val="Carlito"/>
      <b val="1"/>
      <color rgb="FF7F6000"/>
      <sz val="11"/>
    </font>
    <font>
      <name val="Carlito"/>
      <b val="1"/>
      <color rgb="FF375623"/>
      <sz val="11"/>
    </font>
    <font>
      <name val="Carlito"/>
      <sz val="8"/>
    </font>
    <font>
      <name val="Aptos"/>
      <color rgb="FF172033"/>
      <sz val="9"/>
    </font>
    <font>
      <name val="Aptos Display"/>
      <b val="1"/>
      <color rgb="FFFFFFFF"/>
      <sz val="10"/>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2CC"/>
      </patternFill>
    </fill>
    <fill>
      <patternFill patternType="solid">
        <fgColor rgb="FFE2F0D9"/>
      </patternFill>
    </fill>
    <fill>
      <patternFill patternType="solid">
        <fgColor rgb="FF17365D"/>
      </patternFill>
    </fill>
  </fills>
  <borders count="11">
    <border/>
    <border>
      <right style="thin">
        <color rgb="FFD9E2F3"/>
      </right>
      <bottom style="thin">
        <color rgb="FFD9E2F3"/>
      </bottom>
    </border>
    <border>
      <left style="thin">
        <color rgb="FFD9E2F3"/>
      </left>
      <right style="thin">
        <color rgb="FFD9E2F3"/>
      </right>
      <bottom style="thin">
        <color rgb="FFD9E2F3"/>
      </bottom>
    </border>
    <border>
      <left style="thin">
        <color rgb="FFD9E2F3"/>
      </left>
      <bottom style="thin">
        <color rgb="FFD9E2F3"/>
      </bottom>
    </border>
    <border>
      <right style="thin">
        <color rgb="FFD9E2F3"/>
      </right>
      <top style="thin">
        <color rgb="FFD9E2F3"/>
      </top>
      <bottom style="thin">
        <color rgb="FFD9E2F3"/>
      </bottom>
    </border>
    <border>
      <left style="thin">
        <color rgb="FFD9E2F3"/>
      </left>
      <right style="thin">
        <color rgb="FFD9E2F3"/>
      </right>
      <top style="thin">
        <color rgb="FFD9E2F3"/>
      </top>
      <bottom style="thin">
        <color rgb="FFD9E2F3"/>
      </bottom>
    </border>
    <border>
      <left style="thin">
        <color rgb="FFD9E2F3"/>
      </left>
      <top style="thin">
        <color rgb="FFD9E2F3"/>
      </top>
      <bottom style="thin">
        <color rgb="FFD9E2F3"/>
      </bottom>
    </border>
    <border>
      <right style="thin">
        <color rgb="FFD9E2F3"/>
      </right>
      <top style="thin">
        <color rgb="FFD9E2F3"/>
      </top>
    </border>
    <border>
      <left style="thin">
        <color rgb="FFD9E2F3"/>
      </left>
      <right style="thin">
        <color rgb="FFD9E2F3"/>
      </right>
      <top style="thin">
        <color rgb="FFD9E2F3"/>
      </top>
    </border>
    <border>
      <left style="thin">
        <color rgb="FFD9E2F3"/>
      </left>
      <top style="thin">
        <color rgb="FFD9E2F3"/>
      </top>
    </border>
    <border>
      <left style="thin">
        <color rgb="FFB7C9DD"/>
      </left>
      <right style="thin">
        <color rgb="FFB7C9DD"/>
      </right>
      <top style="thin">
        <color rgb="FFB7C9DD"/>
      </top>
      <bottom style="thin">
        <color rgb="FFB7C9DD"/>
      </bottom>
    </border>
  </borders>
  <cellStyleXfs count="1">
    <xf numFmtId="0" fontId="0" fillId="0" borderId="0"/>
  </cellStyleXfs>
  <cellXfs count="42">
    <xf numFmtId="0" fontId="0" fillId="0" borderId="0" pivotButton="0" quotePrefix="0" xfId="0"/>
    <xf numFmtId="0" fontId="1" fillId="2"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xf>
    <xf numFmtId="0" fontId="1" fillId="2" borderId="0" applyAlignment="1" pivotButton="0" quotePrefix="0" xfId="0">
      <alignment vertical="top" wrapText="1"/>
    </xf>
    <xf numFmtId="0" fontId="1" fillId="2" borderId="1" applyAlignment="1" pivotButton="0" quotePrefix="0" xfId="0">
      <alignment vertical="center" wrapText="1"/>
    </xf>
    <xf numFmtId="0" fontId="1" fillId="2" borderId="2" applyAlignment="1" pivotButton="0" quotePrefix="0" xfId="0">
      <alignment vertical="center" wrapText="1"/>
    </xf>
    <xf numFmtId="0" fontId="1" fillId="2" borderId="3" applyAlignment="1" pivotButton="0" quotePrefix="0" xfId="0">
      <alignment vertical="center"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 fillId="2" borderId="0" applyAlignment="1" pivotButton="0" quotePrefix="0" xfId="0">
      <alignment horizontal="center" vertical="top"/>
    </xf>
    <xf numFmtId="0" fontId="2" fillId="3" borderId="0" applyAlignment="1" pivotButton="0" quotePrefix="0" xfId="0">
      <alignment horizontal="center" vertical="top" wrapText="1"/>
    </xf>
    <xf numFmtId="0" fontId="3" fillId="4" borderId="0" applyAlignment="1" pivotButton="0" quotePrefix="0" xfId="0">
      <alignment vertical="top" wrapText="1"/>
    </xf>
    <xf numFmtId="0" fontId="4" fillId="5" borderId="0"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6" fillId="0" borderId="4" applyAlignment="1" pivotButton="0" quotePrefix="0" xfId="0">
      <alignment vertical="top" wrapText="1"/>
    </xf>
    <xf numFmtId="0" fontId="6" fillId="0" borderId="5" applyAlignment="1" pivotButton="0" quotePrefix="0" xfId="0">
      <alignment vertical="top" wrapText="1"/>
    </xf>
    <xf numFmtId="0" fontId="6" fillId="0" borderId="6" applyAlignment="1" pivotButton="0" quotePrefix="0" xfId="0">
      <alignment vertical="top" wrapText="1"/>
    </xf>
    <xf numFmtId="0" fontId="6" fillId="0" borderId="7" applyAlignment="1" pivotButton="0" quotePrefix="0" xfId="0">
      <alignment vertical="top" wrapText="1"/>
    </xf>
    <xf numFmtId="0" fontId="6" fillId="0" borderId="8" applyAlignment="1" pivotButton="0" quotePrefix="0" xfId="0">
      <alignment vertical="top" wrapText="1"/>
    </xf>
    <xf numFmtId="0" fontId="6" fillId="0" borderId="9" applyAlignment="1" pivotButton="0" quotePrefix="0" xfId="0">
      <alignment vertical="top" wrapText="1"/>
    </xf>
    <xf numFmtId="0" fontId="6" fillId="0" borderId="0" applyAlignment="1" pivotButton="0" quotePrefix="0" xfId="0">
      <alignment vertical="top" wrapText="1"/>
    </xf>
    <xf numFmtId="0" fontId="6" fillId="0" borderId="10" applyAlignment="1" pivotButton="0" quotePrefix="0" xfId="0">
      <alignment vertical="top" wrapText="1"/>
    </xf>
    <xf numFmtId="0" fontId="7" fillId="2" borderId="1" applyAlignment="1" pivotButton="0" quotePrefix="0" xfId="0">
      <alignment vertical="center" wrapText="1"/>
    </xf>
    <xf numFmtId="0" fontId="7" fillId="2" borderId="2" applyAlignment="1" pivotButton="0" quotePrefix="0" xfId="0">
      <alignment vertical="center" wrapText="1"/>
    </xf>
    <xf numFmtId="0" fontId="7" fillId="2" borderId="3" applyAlignment="1" pivotButton="0" quotePrefix="0" xfId="0">
      <alignment vertical="center" wrapText="1"/>
    </xf>
    <xf numFmtId="0" fontId="7" fillId="6" borderId="1" applyAlignment="1" pivotButton="0" quotePrefix="0" xfId="0">
      <alignment vertical="center" wrapText="1"/>
    </xf>
    <xf numFmtId="0" fontId="7" fillId="6" borderId="2" applyAlignment="1" pivotButton="0" quotePrefix="0" xfId="0">
      <alignment vertical="center" wrapText="1"/>
    </xf>
    <xf numFmtId="0" fontId="7" fillId="6" borderId="3" applyAlignment="1" pivotButton="0" quotePrefix="0" xfId="0">
      <alignment vertical="center" wrapText="1"/>
    </xf>
    <xf numFmtId="0" fontId="7" fillId="0" borderId="0" pivotButton="0" quotePrefix="0" xfId="0"/>
    <xf numFmtId="0" fontId="7" fillId="6" borderId="0" pivotButton="0" quotePrefix="0" xfId="0"/>
  </cellXfs>
  <cellStyles count="1">
    <cellStyle name="Normal" xfId="0"/>
  </cellStyles>
  <dxfs count="6">
    <dxf>
      <font>
        <color rgb="FF375623"/>
      </font>
      <fill>
        <patternFill>
          <bgColor rgb="FFE2F0D9"/>
        </patternFill>
      </fill>
    </dxf>
    <dxf>
      <font>
        <b val="1"/>
        <color rgb="FF7F6000"/>
      </font>
      <fill>
        <patternFill>
          <bgColor rgb="FFFFF2CC"/>
        </patternFill>
      </fill>
    </dxf>
    <dxf>
      <font>
        <b val="1"/>
        <color rgb="FF9C0006"/>
      </font>
      <fill>
        <patternFill>
          <bgColor rgb="FFFCE4D6"/>
        </patternFill>
      </fill>
    </dxf>
    <dxf>
      <font>
        <color rgb="FF375623"/>
      </font>
      <fill>
        <patternFill>
          <bgColor rgb="FFE2F0D9"/>
        </patternFill>
      </fill>
    </dxf>
    <dxf>
      <font>
        <b val="1"/>
        <color rgb="FF7F6000"/>
      </font>
      <fill>
        <patternFill>
          <bgColor rgb="FFFFF2CC"/>
        </patternFill>
      </fill>
    </dxf>
    <dxf>
      <font>
        <b val="1"/>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R2StateSummary" displayName="IR2StateSummary" ref="A4:B10" headerRowCount="1" totalsRowShown="0">
  <tableColumns count="2">
    <tableColumn id="1" name="Current state"/>
    <tableColumn id="2" name="Value"/>
  </tableColumns>
  <tableStyleInfo name="TableStyleMedium2" showFirstColumn="0" showLastColumn="0" showRowStripes="1" showColumnStripes="0"/>
</table>
</file>

<file path=xl/tables/table2.xml><?xml version="1.0" encoding="utf-8"?>
<table xmlns="http://schemas.openxmlformats.org/spreadsheetml/2006/main" id="2" name="IR2GroupGuide" displayName="IR2GroupGuide" ref="D4:F10" headerRowCount="1" totalsRowShown="0">
  <tableColumns count="3">
    <tableColumn id="1" name="IR2 group"/>
    <tableColumn id="2" name="Meaning"/>
    <tableColumn id="3" name="What you do now"/>
  </tableColumns>
  <tableStyleInfo name="TableStyleMedium2" showFirstColumn="0" showLastColumn="0" showRowStripes="1" showColumnStripes="0"/>
</table>
</file>

<file path=xl/tables/table3.xml><?xml version="1.0" encoding="utf-8"?>
<table xmlns="http://schemas.openxmlformats.org/spreadsheetml/2006/main" id="3" name="MKB1IR2Tracker" displayName="MKB1IR2Tracker" ref="A1:R42" headerRowCount="1" totalsRowCount="0" totalsRowShown="0">
  <tableColumns count="18">
    <tableColumn id="1" name="IR2 group"/>
    <tableColumn id="2" name="MKB ID"/>
    <tableColumn id="3" name="Package"/>
    <tableColumn id="4" name="Canonical concept"/>
    <tableColumn id="5" name="Final decision"/>
    <tableColumn id="6" name="Target"/>
    <tableColumn id="7" name="Current draft IRI(s)"/>
    <tableColumn id="8" name="Parent / modelling pattern"/>
    <tableColumn id="9" name="MKB1 draft status"/>
    <tableColumn id="10" name="Recommended final MatSus IRI(s)"/>
    <tableColumn id="11" name="Codex definition + parent assessment"/>
    <tableColumn id="12" name="Confirmed axioms now"/>
    <tableColumn id="13" name="In current MatSus source"/>
    <tableColumn id="14" name="Validation"/>
    <tableColumn id="15" name="External issue / dependency"/>
    <tableColumn id="16" name="Overall IR2 status"/>
    <tableColumn id="17" name="Next action"/>
    <tableColumn id="18" name="Notes"/>
  </tableColumns>
  <tableStyleInfo name="TableStyleMedium2" showFirstColumn="0" showLastColumn="0" showRowStripes="1" showColumnStripes="0"/>
</table>
</file>

<file path=xl/tables/table4.xml><?xml version="1.0" encoding="utf-8"?>
<table xmlns="http://schemas.openxmlformats.org/spreadsheetml/2006/main" id="4" name="MKB1ClassReview" displayName="MKB1ClassReview" ref="A1:N46" headerRowCount="1" totalsRowCount="0" totalsRowShown="0">
  <tableColumns count="14">
    <tableColumn id="1" name="MKB ID(s)"/>
    <tableColumn id="2" name="Ontology target"/>
    <tableColumn id="3" name="Class label"/>
    <tableColumn id="4" name="Recommended final IRI"/>
    <tableColumn id="5" name="Draft/proposed definition"/>
    <tableColumn id="6" name="Asserted/proposed parent"/>
    <tableColumn id="7" name="Codex assessment"/>
    <tableColumn id="8" name="Confidence"/>
    <tableColumn id="9" name="Confirmed axiom(s) now"/>
    <tableColumn id="10" name="Later axiomatization note"/>
    <tableColumn id="11" name="Issue / dependency"/>
    <tableColumn id="12" name="Implementation status"/>
    <tableColumn id="13" name="Human decision / comment"/>
    <tableColumn id="14" name="Editorial note"/>
  </tableColumns>
  <tableStyleInfo name="TableStyleMedium2" showFirstColumn="0" showLastColumn="0" showRowStripes="1" showColumnStripes="0"/>
</table>
</file>

<file path=xl/tables/table5.xml><?xml version="1.0" encoding="utf-8"?>
<table xmlns="http://schemas.openxmlformats.org/spreadsheetml/2006/main" id="5" name="IR2Handoffs" displayName="IR2Handoffs" ref="A1:E6" headerRowCount="1" totalsRowShown="0">
  <tableColumns count="5">
    <tableColumn id="1" name="Issue"/>
    <tableColumn id="2" name="Concept"/>
    <tableColumn id="3" name="Target"/>
    <tableColumn id="4" name="Status"/>
    <tableColumn id="5" name="URL /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table" Target="/xl/tables/table3.xml" Id="rId1" /></Relationships>
</file>

<file path=xl/worksheets/_rels/sheet3.xml.rels><Relationships xmlns="http://schemas.openxmlformats.org/package/2006/relationships"><Relationship Type="http://schemas.openxmlformats.org/officeDocument/2006/relationships/table" Target="/xl/tables/table4.xml" Id="rId1" /></Relationships>
</file>

<file path=xl/worksheets/_rels/sheet4.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F14"/>
  <sheetViews>
    <sheetView showGridLines="0" workbookViewId="0">
      <selection activeCell="A1" sqref="A1"/>
    </sheetView>
  </sheetViews>
  <sheetFormatPr baseColWidth="8" defaultRowHeight="14"/>
  <cols>
    <col width="42" customWidth="1" min="1" max="1"/>
    <col width="20" customWidth="1" min="2" max="2"/>
    <col width="4" customWidth="1" min="3" max="3"/>
    <col width="28" customWidth="1" min="4" max="4"/>
    <col width="62" customWidth="1" min="5" max="6"/>
  </cols>
  <sheetData>
    <row r="1">
      <c r="A1" s="14" t="inlineStr">
        <is>
          <t>MKB1 → MatSus IR2 implementation tracker</t>
        </is>
      </c>
    </row>
    <row r="2">
      <c r="A2" s="15" t="inlineStr">
        <is>
          <t>Definitions and parents have been assessed from the ontology draft; user review is requested only where the Class Review says REVISE or PROVISIONAL.</t>
        </is>
      </c>
    </row>
    <row r="3">
      <c r="A3" s="3" t="n"/>
      <c r="B3" s="3" t="n"/>
      <c r="C3" s="3" t="n"/>
      <c r="D3" s="3" t="n"/>
      <c r="E3" s="3" t="n"/>
      <c r="F3" s="3" t="n"/>
    </row>
    <row r="4">
      <c r="A4" s="4" t="inlineStr">
        <is>
          <t>Current state</t>
        </is>
      </c>
      <c r="B4" s="4" t="inlineStr">
        <is>
          <t>Value</t>
        </is>
      </c>
      <c r="C4" s="3" t="n"/>
      <c r="D4" s="4" t="inlineStr">
        <is>
          <t>IR2 group</t>
        </is>
      </c>
      <c r="E4" s="4" t="inlineStr">
        <is>
          <t>Meaning</t>
        </is>
      </c>
      <c r="F4" s="4" t="inlineStr">
        <is>
          <t>What you do now</t>
        </is>
      </c>
    </row>
    <row r="5" ht="48" customHeight="1">
      <c r="A5" s="3" t="inlineStr">
        <is>
          <t>MKB1 human-gate decisions</t>
        </is>
      </c>
      <c r="B5" s="3">
        <f>COUNTA('IR2 Tracker'!B2:B36)</f>
        <v/>
      </c>
      <c r="C5" s="3" t="n"/>
      <c r="D5" s="3" t="inlineStr">
        <is>
          <t>1 - LOCAL IMPLEMENTATION</t>
        </is>
      </c>
      <c r="E5" s="3" t="inlineStr">
        <is>
          <t>A MatSus class/pattern is drafted and can proceed toward integration.</t>
        </is>
      </c>
      <c r="F5" s="3" t="inlineStr">
        <is>
          <t>Use the recommended IRI. Review only REVISE/PROVISIONAL rows.</t>
        </is>
      </c>
    </row>
    <row r="6" ht="48" customHeight="1">
      <c r="A6" s="3" t="inlineStr">
        <is>
          <t>Local implementation rows/classes</t>
        </is>
      </c>
      <c r="B6" s="3">
        <f>COUNTIF('IR2 Tracker'!A2:A42,"1 - LOCAL IMPLEMENTATION")</f>
        <v/>
      </c>
      <c r="C6" s="3" t="n"/>
      <c r="D6" s="3" t="inlineStr">
        <is>
          <t>2 - EXTERNAL HANDOFF</t>
        </is>
      </c>
      <c r="E6" s="3" t="inlineStr">
        <is>
          <t>The concept belongs upstream in PMDco or LOG.</t>
        </is>
      </c>
      <c r="F6" s="3" t="inlineStr">
        <is>
          <t>Wait for the external decision; do not create a duplicate MatSus class.</t>
        </is>
      </c>
    </row>
    <row r="7" ht="48" customHeight="1">
      <c r="A7" s="3" t="inlineStr">
        <is>
          <t>Rows integrated into the provided current MatSus source</t>
        </is>
      </c>
      <c r="B7" s="3">
        <f>COUNTIF('IR2 Tracker'!M2:M42,"YES")</f>
        <v/>
      </c>
      <c r="C7" s="3" t="n"/>
      <c r="D7" s="3" t="inlineStr">
        <is>
          <t>3 - DEFERRED</t>
        </is>
      </c>
      <c r="E7" s="3" t="inlineStr">
        <is>
          <t>No class is justified without a concrete modelling example.</t>
        </is>
      </c>
      <c r="F7" s="3" t="inlineStr">
        <is>
          <t>No ontology action now.</t>
        </is>
      </c>
    </row>
    <row r="8" ht="48" customHeight="1">
      <c r="A8" s="3" t="inlineStr">
        <is>
          <t>PMDco issues submitted</t>
        </is>
      </c>
      <c r="B8" s="3">
        <f>COUNTIF(Handoffs!D2:D6,"ISSUE_SUBMITTED")</f>
        <v/>
      </c>
      <c r="C8" s="3" t="n"/>
      <c r="D8" s="3" t="inlineStr">
        <is>
          <t>Definitions/parents</t>
        </is>
      </c>
      <c r="E8" s="3" t="inlineStr">
        <is>
          <t>Full draft definition, asserted parent and Codex assessment are in Class Review.</t>
        </is>
      </c>
      <c r="F8" s="3" t="inlineStr">
        <is>
          <t>You do not need to review ACCEPT rows.</t>
        </is>
      </c>
    </row>
    <row r="9" ht="48" customHeight="1">
      <c r="A9" s="3" t="inlineStr">
        <is>
          <t>LOG issue pending</t>
        </is>
      </c>
      <c r="B9" s="3">
        <f>COUNTIF(Handoffs!D2:D6,"LOG_ISSUE_PENDING")</f>
        <v/>
      </c>
      <c r="C9" s="3" t="n"/>
      <c r="D9" s="3" t="inlineStr">
        <is>
          <t>Axioms now</t>
        </is>
      </c>
      <c r="E9" s="3" t="inlineStr">
        <is>
          <t>Only high-confidence parent/subclass and two discussed restrictions are recorded.</t>
        </is>
      </c>
      <c r="F9" s="3" t="inlineStr">
        <is>
          <t>Do not axiomatize further now.</t>
        </is>
      </c>
    </row>
    <row r="10" ht="48" customHeight="1">
      <c r="A10" s="3" t="inlineStr">
        <is>
          <t>Intentionally deferred modelling rows</t>
        </is>
      </c>
      <c r="B10" s="3">
        <f>COUNTIF('IR2 Tracker'!A2:A42,"3 - DEFERRED")</f>
        <v/>
      </c>
      <c r="C10" s="3" t="n"/>
      <c r="D10" s="3" t="inlineStr">
        <is>
          <t>Later axioms</t>
        </is>
      </c>
      <c r="E10" s="3" t="inlineStr">
        <is>
          <t>Uncertain relations are logged as later notes.</t>
        </is>
      </c>
      <c r="F10" s="3" t="inlineStr">
        <is>
          <t>Return to them during the later axiomatization phase.</t>
        </is>
      </c>
    </row>
    <row r="11">
      <c r="A11" s="3" t="n"/>
      <c r="B11" s="3" t="n"/>
      <c r="C11" s="3" t="n"/>
      <c r="D11" s="3" t="n"/>
      <c r="E11" s="3" t="n"/>
      <c r="F11" s="3" t="n"/>
    </row>
    <row r="12" ht="54" customHeight="1">
      <c r="A12" s="16" t="inlineStr">
        <is>
          <t>IRI recommendation: keep the readable https://w3id.org/pmd/matsus/&lt;ClassName&gt; IRIs already used in both supplied MatSus files. Confidence is high for consistency with these files, but repository-wide ID policy should still be checked once—not row by row—before merge.</t>
        </is>
      </c>
    </row>
    <row r="13">
      <c r="A13" s="3" t="n"/>
      <c r="B13" s="3" t="n"/>
      <c r="C13" s="3" t="n"/>
      <c r="D13" s="3" t="n"/>
      <c r="E13" s="3" t="n"/>
      <c r="F13" s="3" t="n"/>
    </row>
    <row r="14" ht="34" customHeight="1">
      <c r="A14" s="17" t="inlineStr">
        <is>
          <t>The MKB1 final workbook remains the decision/provenance archive. Use this tracker and Class Review sheet for IR2; six post-gate accepted classes are explicitly included.</t>
        </is>
      </c>
    </row>
  </sheetData>
  <mergeCells count="4">
    <mergeCell ref="A2:F2"/>
    <mergeCell ref="A14:F14"/>
    <mergeCell ref="A1:F1"/>
    <mergeCell ref="A12:F12"/>
  </mergeCell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42"/>
  <sheetViews>
    <sheetView showGridLines="0" workbookViewId="0">
      <selection activeCell="A1" sqref="A1"/>
    </sheetView>
  </sheetViews>
  <sheetFormatPr baseColWidth="8" defaultRowHeight="14"/>
  <cols>
    <col width="28" customWidth="1" min="1" max="1"/>
    <col width="15" customWidth="1" min="2" max="2"/>
    <col width="23" customWidth="1" min="3" max="3"/>
    <col width="31" customWidth="1" min="4" max="4"/>
    <col width="27" customWidth="1" min="5" max="5"/>
    <col width="21" customWidth="1" min="6" max="6"/>
    <col width="40" customWidth="1" min="7" max="7"/>
    <col width="36" customWidth="1" min="8" max="8"/>
    <col width="27" customWidth="1" min="9" max="9"/>
    <col width="43" customWidth="1" min="10" max="10"/>
    <col width="72" customWidth="1" min="11" max="11"/>
    <col width="58" customWidth="1" min="12" max="12"/>
    <col width="23" customWidth="1" min="13" max="14"/>
    <col width="58" customWidth="1" min="15" max="15"/>
    <col width="31" customWidth="1" min="16" max="16"/>
    <col width="58" customWidth="1" min="17" max="17"/>
    <col width="48" customWidth="1" min="18" max="18"/>
  </cols>
  <sheetData>
    <row r="1">
      <c r="A1" s="37" t="inlineStr">
        <is>
          <t>IR2 group</t>
        </is>
      </c>
      <c r="B1" s="38" t="inlineStr">
        <is>
          <t>MKB ID</t>
        </is>
      </c>
      <c r="C1" s="38" t="inlineStr">
        <is>
          <t>Package</t>
        </is>
      </c>
      <c r="D1" s="38" t="inlineStr">
        <is>
          <t>Canonical concept</t>
        </is>
      </c>
      <c r="E1" s="38" t="inlineStr">
        <is>
          <t>Final decision</t>
        </is>
      </c>
      <c r="F1" s="38" t="inlineStr">
        <is>
          <t>Target</t>
        </is>
      </c>
      <c r="G1" s="38" t="inlineStr">
        <is>
          <t>Current draft IRI(s)</t>
        </is>
      </c>
      <c r="H1" s="38" t="inlineStr">
        <is>
          <t>Parent / modelling pattern</t>
        </is>
      </c>
      <c r="I1" s="38" t="inlineStr">
        <is>
          <t>MKB1 draft status</t>
        </is>
      </c>
      <c r="J1" s="38" t="inlineStr">
        <is>
          <t>Recommended final MatSus IRI(s)</t>
        </is>
      </c>
      <c r="K1" s="38" t="inlineStr">
        <is>
          <t>Codex definition + parent assessment</t>
        </is>
      </c>
      <c r="L1" s="38" t="inlineStr">
        <is>
          <t>Confirmed axioms now</t>
        </is>
      </c>
      <c r="M1" s="38" t="inlineStr">
        <is>
          <t>In current MatSus source</t>
        </is>
      </c>
      <c r="N1" s="38" t="inlineStr">
        <is>
          <t>Validation</t>
        </is>
      </c>
      <c r="O1" s="38" t="inlineStr">
        <is>
          <t>External issue / dependency</t>
        </is>
      </c>
      <c r="P1" s="38" t="inlineStr">
        <is>
          <t>Overall IR2 status</t>
        </is>
      </c>
      <c r="Q1" s="38" t="inlineStr">
        <is>
          <t>Next action</t>
        </is>
      </c>
      <c r="R1" s="39" t="inlineStr">
        <is>
          <t>Notes</t>
        </is>
      </c>
    </row>
    <row r="2" ht="42" customHeight="1">
      <c r="A2" s="33" t="inlineStr">
        <is>
          <t>1 - LOCAL IMPLEMENTATION</t>
        </is>
      </c>
      <c r="B2" s="33" t="inlineStr">
        <is>
          <t>MKB-000059</t>
        </is>
      </c>
      <c r="C2" s="33" t="inlineStr">
        <is>
          <t>Cross-cutting</t>
        </is>
      </c>
      <c r="D2" s="33" t="inlineStr">
        <is>
          <t>collection system</t>
        </is>
      </c>
      <c r="E2" s="33" t="inlineStr">
        <is>
          <t>IMPLEMENT_LOCAL_MATSUS_TERM</t>
        </is>
      </c>
      <c r="F2" s="33" t="inlineStr">
        <is>
          <t>MatSus</t>
        </is>
      </c>
      <c r="G2" s="33" t="inlineStr">
        <is>
          <t>https://w3id.org/pmd/matsus/CollectionSystem</t>
        </is>
      </c>
      <c r="H2" s="33" t="inlineStr">
        <is>
          <t>BFO object aggregate (BFO_0000027)</t>
        </is>
      </c>
      <c r="I2" s="33" t="inlineStr">
        <is>
          <t>IMPLEMENTED_IN_MATSUS_EDIT</t>
        </is>
      </c>
      <c r="J2" s="33" t="inlineStr">
        <is>
          <t>https://w3id.org/pmd/matsus/CollectionSystem</t>
        </is>
      </c>
      <c r="K2" s="33" t="inlineStr">
        <is>
          <t>CollectionSystem: ACCEPT PROVISIONALLY — appropriate if the intended system is a material aggregate; hierarchy should be revisited when member, agent, function or realized-process queries become central.</t>
        </is>
      </c>
      <c r="L2" s="33" t="inlineStr">
        <is>
          <t>For now: CollectionSystem SubClassOf BFO object aggregate.</t>
        </is>
      </c>
      <c r="M2" s="33" t="inlineStr">
        <is>
          <t>NO - DRAFT ONLY</t>
        </is>
      </c>
      <c r="N2" s="33" t="inlineStr">
        <is>
          <t>FULL BUILD TODO</t>
        </is>
      </c>
      <c r="O2" s="33" t="n"/>
      <c r="P2" s="33" t="inlineStr">
        <is>
          <t>DRAFT_READY_FOR_IR2</t>
        </is>
      </c>
      <c r="Q2" s="33" t="inlineStr">
        <is>
          <t>Reminder: recheck the hierarchy and LOG alignment when component, agent, function or realized-process queries become important.</t>
        </is>
      </c>
      <c r="R2" s="33" t="inlineStr">
        <is>
          <t>Full class-level definition, parent, confidence and later-axiom notes are in Class Review.</t>
        </is>
      </c>
    </row>
    <row r="3" ht="28" customHeight="1">
      <c r="A3" s="33" t="inlineStr">
        <is>
          <t>1 - LOCAL IMPLEMENTATION</t>
        </is>
      </c>
      <c r="B3" s="33" t="inlineStr">
        <is>
          <t>ADD-SCO-012</t>
        </is>
      </c>
      <c r="C3" s="33" t="inlineStr">
        <is>
          <t>Information/specification</t>
        </is>
      </c>
      <c r="D3" s="33" t="inlineStr">
        <is>
          <t>metric specification</t>
        </is>
      </c>
      <c r="E3" s="33" t="inlineStr">
        <is>
          <t>IMPLEMENT_LOCAL_MATSUS_TERM</t>
        </is>
      </c>
      <c r="F3" s="33" t="inlineStr">
        <is>
          <t>MatSus</t>
        </is>
      </c>
      <c r="G3" s="33" t="inlineStr">
        <is>
          <t>https://w3id.org/pmd/matsus/MetricSpecification</t>
        </is>
      </c>
      <c r="H3" s="33" t="inlineStr">
        <is>
          <t>IAO directive information entity (IAO_0000033)</t>
        </is>
      </c>
      <c r="I3" s="33" t="inlineStr">
        <is>
          <t>IMPLEMENTED_IN_MATSUS_EDIT</t>
        </is>
      </c>
      <c r="J3" s="33" t="inlineStr">
        <is>
          <t>https://w3id.org/pmd/matsus/MetricSpecification</t>
        </is>
      </c>
      <c r="K3" s="33" t="inlineStr">
        <is>
          <t>MetricSpecification: ACCEPT — a metric specification prescribes calculation inputs/methods; the resulting metric value remains a data item.</t>
        </is>
      </c>
      <c r="L3" s="33" t="inlineStr">
        <is>
          <t>MetricSpecification SubClassOf IAO directive information entity.</t>
        </is>
      </c>
      <c r="M3" s="33" t="inlineStr">
        <is>
          <t>NO - DRAFT ONLY</t>
        </is>
      </c>
      <c r="N3" s="33" t="inlineStr">
        <is>
          <t>FULL BUILD TODO</t>
        </is>
      </c>
      <c r="O3" s="33" t="n"/>
      <c r="P3" s="33" t="inlineStr">
        <is>
          <t>DRAFT_READY_FOR_IR2</t>
        </is>
      </c>
      <c r="Q3" s="33" t="inlineStr">
        <is>
          <t>Use MetricSpecification for indicator methods; keep values/results under IAO data item.</t>
        </is>
      </c>
      <c r="R3" s="33" t="inlineStr">
        <is>
          <t>Full class-level definition, parent, confidence and later-axiom notes are in Class Review.</t>
        </is>
      </c>
    </row>
    <row r="4" ht="42" customHeight="1">
      <c r="A4" s="33" t="inlineStr">
        <is>
          <t>1 - LOCAL IMPLEMENTATION</t>
        </is>
      </c>
      <c r="B4" s="33" t="inlineStr">
        <is>
          <t>MKB-000028</t>
        </is>
      </c>
      <c r="C4" s="33" t="inlineStr">
        <is>
          <t>Information/specification</t>
        </is>
      </c>
      <c r="D4" s="33" t="inlineStr">
        <is>
          <t>circular design specification</t>
        </is>
      </c>
      <c r="E4" s="33" t="inlineStr">
        <is>
          <t>IMPLEMENT_LOCAL_MATSUS_TERM</t>
        </is>
      </c>
      <c r="F4" s="33" t="inlineStr">
        <is>
          <t>MatSus</t>
        </is>
      </c>
      <c r="G4" s="33" t="inlineStr">
        <is>
          <t>https://w3id.org/pmd/matsus/CircularDesignSpecification</t>
        </is>
      </c>
      <c r="H4" s="33" t="inlineStr">
        <is>
          <t>IAO directive information entity (IAO_0000033)</t>
        </is>
      </c>
      <c r="I4" s="33" t="inlineStr">
        <is>
          <t>IMPLEMENTED_IN_MATSUS_EDIT</t>
        </is>
      </c>
      <c r="J4" s="33" t="inlineStr">
        <is>
          <t>https://w3id.org/pmd/matsus/CircularDesignSpecification</t>
        </is>
      </c>
      <c r="K4" s="33" t="inlineStr">
        <is>
          <t>CircularDesignSpecification: ACCEPT PROVISIONALLY — usable local specialization, but the current directive-only parent/definition may be too narrow if PMDco issue #488 adopts a descriptive-or-directive specification-document pattern.</t>
        </is>
      </c>
      <c r="L4" s="33" t="inlineStr">
        <is>
          <t>For now: CircularDesignSpecification SubClassOf IAO directive information entity.</t>
        </is>
      </c>
      <c r="M4" s="33" t="inlineStr">
        <is>
          <t>NO - DRAFT ONLY</t>
        </is>
      </c>
      <c r="N4" s="33" t="inlineStr">
        <is>
          <t>FULL BUILD TODO</t>
        </is>
      </c>
      <c r="O4" s="33" t="inlineStr">
        <is>
          <t>https://github.com/materialdigital/core-ontology/issues/488</t>
        </is>
      </c>
      <c r="P4" s="33" t="inlineStr">
        <is>
          <t>DRAFT_READY_ISSUE_SUBMITTED</t>
        </is>
      </c>
      <c r="Q4" s="33" t="inlineStr">
        <is>
          <t>PMDco issue #488 submitted for generic design specification. Keep the MatSus circular design specialization; reconcile its parent after the PMDco decision.</t>
        </is>
      </c>
      <c r="R4" s="33" t="inlineStr">
        <is>
          <t>Full class-level definition, parent, confidence and later-axiom notes are in Class Review.</t>
        </is>
      </c>
    </row>
    <row r="5" ht="42" customHeight="1">
      <c r="A5" s="33" t="inlineStr">
        <is>
          <t>1 - LOCAL IMPLEMENTATION</t>
        </is>
      </c>
      <c r="B5" s="33" t="inlineStr">
        <is>
          <t>MKB-000231</t>
        </is>
      </c>
      <c r="C5" s="33" t="inlineStr">
        <is>
          <t>Information/specification</t>
        </is>
      </c>
      <c r="D5" s="33" t="inlineStr">
        <is>
          <t>sorting process + sorting method specification</t>
        </is>
      </c>
      <c r="E5" s="33" t="inlineStr">
        <is>
          <t>IMPLEMENT_LOCAL_MATSUS_PATTERN</t>
        </is>
      </c>
      <c r="F5" s="33" t="inlineStr">
        <is>
          <t>MatSus</t>
        </is>
      </c>
      <c r="G5" s="33" t="inlineStr">
        <is>
          <t>https://w3id.org/pmd/matsus/SortingProcess | https://w3id.org/pmd/matsus/SortingMethodSpecification</t>
        </is>
      </c>
      <c r="H5" s="33" t="inlineStr">
        <is>
          <t>COB planned process + IAO plan specification</t>
        </is>
      </c>
      <c r="I5" s="33" t="inlineStr">
        <is>
          <t>IMPLEMENTED_IN_MATSUS_EDIT</t>
        </is>
      </c>
      <c r="J5" s="33" t="inlineStr">
        <is>
          <t>https://w3id.org/pmd/matsus/SortingProcess | https://w3id.org/pmd/matsus/SortingMethodSpecification</t>
        </is>
      </c>
      <c r="K5" s="33" t="inlineStr">
        <is>
          <t>SortingProcess: ACCEPT — generic sorting is correctly represented as a process. | SortingMethodSpecification: ACCEPT — correctly modelled as an information artifact, explicitly not as a sorting-process subclass.</t>
        </is>
      </c>
      <c r="L5" s="33" t="inlineStr">
        <is>
          <t>SortingProcess SubClassOf COB planned process. | SortingMethodSpecification SubClassOf IAO plan specification. No subclass axiom to SortingProcess.</t>
        </is>
      </c>
      <c r="M5" s="33" t="inlineStr">
        <is>
          <t>NO - DRAFT ONLY</t>
        </is>
      </c>
      <c r="N5" s="33" t="inlineStr">
        <is>
          <t>FULL BUILD TODO</t>
        </is>
      </c>
      <c r="O5" s="33" t="n"/>
      <c r="P5" s="33" t="inlineStr">
        <is>
          <t>DRAFT_READY_FOR_IR2</t>
        </is>
      </c>
      <c r="Q5" s="33" t="inlineStr">
        <is>
          <t>Connect process to method/plan during axiomatization; keep waste separation as a sorting-process subtype.</t>
        </is>
      </c>
      <c r="R5" s="33" t="inlineStr">
        <is>
          <t>Full class-level definition, parent, confidence and later-axiom notes are in Class Review.</t>
        </is>
      </c>
    </row>
    <row r="6" ht="42" customHeight="1">
      <c r="A6" s="33" t="inlineStr">
        <is>
          <t>1 - LOCAL IMPLEMENTATION</t>
        </is>
      </c>
      <c r="B6" s="33" t="inlineStr">
        <is>
          <t>MKB-000016</t>
        </is>
      </c>
      <c r="C6" s="33" t="inlineStr">
        <is>
          <t>Material/role</t>
        </is>
      </c>
      <c r="D6" s="33" t="inlineStr">
        <is>
          <t>feedstock role</t>
        </is>
      </c>
      <c r="E6" s="33" t="inlineStr">
        <is>
          <t>IMPLEMENT_LOCAL_MATSUS_PATTERN</t>
        </is>
      </c>
      <c r="F6" s="33" t="inlineStr">
        <is>
          <t>MatSus + LOG anchor</t>
        </is>
      </c>
      <c r="G6" s="33" t="inlineStr">
        <is>
          <t>https://w3id.org/pmd/matsus/FeedstockRole</t>
        </is>
      </c>
      <c r="H6" s="33" t="inlineStr">
        <is>
          <t>LOG material resource role (LOG_1000106)</t>
        </is>
      </c>
      <c r="I6" s="33" t="inlineStr">
        <is>
          <t>IMPLEMENTED_IN_MATSUS_EDIT</t>
        </is>
      </c>
      <c r="J6" s="33" t="inlineStr">
        <is>
          <t>https://w3id.org/pmd/matsus/FeedstockRole</t>
        </is>
      </c>
      <c r="K6" s="33" t="inlineStr">
        <is>
          <t>FeedstockRole: ACCEPT PROVISIONALLY — role modelling is correct and the LOG parent is reasonable; PMDco issue #486 may provide the upstream class and require reconciliation.</t>
        </is>
      </c>
      <c r="L6" s="33" t="inlineStr">
        <is>
          <t>For now: FeedstockRole SubClassOf LOG material resource role.</t>
        </is>
      </c>
      <c r="M6" s="33" t="inlineStr">
        <is>
          <t>NO - DRAFT ONLY</t>
        </is>
      </c>
      <c r="N6" s="33" t="inlineStr">
        <is>
          <t>FULL BUILD TODO</t>
        </is>
      </c>
      <c r="O6" s="33" t="inlineStr">
        <is>
          <t>https://github.com/materialdigital/core-ontology/issues/486</t>
        </is>
      </c>
      <c r="P6" s="33" t="inlineStr">
        <is>
          <t>DRAFT_READY_ISSUE_SUBMITTED</t>
        </is>
      </c>
      <c r="Q6" s="33" t="inlineStr">
        <is>
          <t>PMDco issue #486 submitted for feedstock role. Keep the MatSus FeedstockRole draft for current use; reconcile its parent/mapping if PMDco adopts the role.</t>
        </is>
      </c>
      <c r="R6" s="33" t="inlineStr">
        <is>
          <t>Full class-level definition, parent, confidence and later-axiom notes are in Class Review.</t>
        </is>
      </c>
    </row>
    <row r="7" ht="28" customHeight="1">
      <c r="A7" s="33" t="inlineStr">
        <is>
          <t>1 - LOCAL IMPLEMENTATION</t>
        </is>
      </c>
      <c r="B7" s="33" t="inlineStr">
        <is>
          <t>MKB-000137</t>
        </is>
      </c>
      <c r="C7" s="33" t="inlineStr">
        <is>
          <t>Material/role</t>
        </is>
      </c>
      <c r="D7" s="33" t="inlineStr">
        <is>
          <t>material resource efficiency datum</t>
        </is>
      </c>
      <c r="E7" s="33" t="inlineStr">
        <is>
          <t>ALIGN_TO_LOCAL_CANONICAL</t>
        </is>
      </c>
      <c r="F7" s="33" t="inlineStr">
        <is>
          <t>MatSus</t>
        </is>
      </c>
      <c r="G7" s="33" t="inlineStr">
        <is>
          <t>https://w3id.org/pmd/matsus/MaterialResourceEfficiencyDatum</t>
        </is>
      </c>
      <c r="H7" s="33" t="inlineStr">
        <is>
          <t>MatSus resource efficiency datum</t>
        </is>
      </c>
      <c r="I7" s="33" t="inlineStr">
        <is>
          <t>IMPLEMENTED_IN_MATSUS_EDIT</t>
        </is>
      </c>
      <c r="J7" s="33" t="inlineStr">
        <is>
          <t>https://w3id.org/pmd/matsus/MaterialResourceEfficiencyDatum</t>
        </is>
      </c>
      <c r="K7" s="33" t="inlineStr">
        <is>
          <t>MaterialResourceEfficiencyDatum: ACCEPT — clear material-input specialization.</t>
        </is>
      </c>
      <c r="L7" s="33" t="inlineStr">
        <is>
          <t>MaterialResourceEfficiencyDatum SubClassOf ResourceEfficiencyDatum.</t>
        </is>
      </c>
      <c r="M7" s="33" t="inlineStr">
        <is>
          <t>NO - DRAFT ONLY</t>
        </is>
      </c>
      <c r="N7" s="33" t="inlineStr">
        <is>
          <t>FULL BUILD TODO</t>
        </is>
      </c>
      <c r="O7" s="33" t="n"/>
      <c r="P7" s="33" t="inlineStr">
        <is>
          <t>DRAFT_READY_FOR_IR2</t>
        </is>
      </c>
      <c r="Q7" s="33" t="inlineStr">
        <is>
          <t>Record output/value, material input, method, boundary and time interval in the instance pattern.</t>
        </is>
      </c>
      <c r="R7" s="33" t="inlineStr">
        <is>
          <t>Full class-level definition, parent, confidence and later-axiom notes are in Class Review.</t>
        </is>
      </c>
    </row>
    <row r="8" ht="42" customHeight="1">
      <c r="A8" s="33" t="inlineStr">
        <is>
          <t>1 - LOCAL IMPLEMENTATION</t>
        </is>
      </c>
      <c r="B8" s="33" t="inlineStr">
        <is>
          <t>MKB-000150</t>
        </is>
      </c>
      <c r="C8" s="33" t="inlineStr">
        <is>
          <t>Material/role</t>
        </is>
      </c>
      <c r="D8" s="33" t="inlineStr">
        <is>
          <t>virgin material (implemented); non-virgin material deferred</t>
        </is>
      </c>
      <c r="E8" s="33" t="inlineStr">
        <is>
          <t>DEFER_MODELLING_USE_CASE</t>
        </is>
      </c>
      <c r="F8" s="33" t="inlineStr">
        <is>
          <t>MatSus</t>
        </is>
      </c>
      <c r="G8" s="33" t="inlineStr">
        <is>
          <t>https://w3id.org/pmd/matsus/VirginMaterial</t>
        </is>
      </c>
      <c r="H8" s="33" t="inlineStr">
        <is>
          <t>PMDco material (PMD_0000000)</t>
        </is>
      </c>
      <c r="I8" s="33" t="inlineStr">
        <is>
          <t>PARTIALLY_IMPLEMENTED</t>
        </is>
      </c>
      <c r="J8" s="33" t="inlineStr">
        <is>
          <t>https://w3id.org/pmd/matsus/VirginMaterial</t>
        </is>
      </c>
      <c r="K8" s="33" t="inlineStr">
        <is>
          <t>VirginMaterial: REVISE BEFORE MERGE — parent is correct; definition needs an explicit authoritative source and clearer treatment of mixed virgin/recovered constituents. Do not define non-virgin material as its OWL complement.</t>
        </is>
      </c>
      <c r="L8" s="33" t="inlineStr">
        <is>
          <t>VirginMaterial SubClassOf PMDco material.</t>
        </is>
      </c>
      <c r="M8" s="33" t="inlineStr">
        <is>
          <t>NO - DRAFT ONLY</t>
        </is>
      </c>
      <c r="N8" s="33" t="inlineStr">
        <is>
          <t>FULL BUILD TODO</t>
        </is>
      </c>
      <c r="O8" s="33" t="n"/>
      <c r="P8" s="33" t="inlineStr">
        <is>
          <t>PARTIAL_DRAFT_READY</t>
        </is>
      </c>
      <c r="Q8" s="33" t="inlineStr">
        <is>
          <t>Use recycled/recovered-content assertions; revisit a positive SecondaryMaterial class with a composition competency query.</t>
        </is>
      </c>
      <c r="R8" s="33" t="inlineStr">
        <is>
          <t>Full class-level definition, parent, confidence and later-axiom notes are in Class Review.</t>
        </is>
      </c>
    </row>
    <row r="9" ht="28" customHeight="1">
      <c r="A9" s="33" t="inlineStr">
        <is>
          <t>1 - LOCAL IMPLEMENTATION</t>
        </is>
      </c>
      <c r="B9" s="33" t="inlineStr">
        <is>
          <t>MKB-000009</t>
        </is>
      </c>
      <c r="C9" s="33" t="inlineStr">
        <is>
          <t>Process</t>
        </is>
      </c>
      <c r="D9" s="33" t="inlineStr">
        <is>
          <t>battery repurposing process</t>
        </is>
      </c>
      <c r="E9" s="33" t="inlineStr">
        <is>
          <t>IMPLEMENT_LOCAL_MATSUS_TERM</t>
        </is>
      </c>
      <c r="F9" s="33" t="inlineStr">
        <is>
          <t>MatSus</t>
        </is>
      </c>
      <c r="G9" s="33" t="inlineStr">
        <is>
          <t>https://w3id.org/pmd/matsus/BatteryRepurposingProcess</t>
        </is>
      </c>
      <c r="H9" s="33" t="inlineStr">
        <is>
          <t>repurposing process</t>
        </is>
      </c>
      <c r="I9" s="33" t="inlineStr">
        <is>
          <t>IMPLEMENTED_IN_MATSUS_EDIT</t>
        </is>
      </c>
      <c r="J9" s="33" t="inlineStr">
        <is>
          <t>https://w3id.org/pmd/matsus/BatteryRepurposingProcess</t>
        </is>
      </c>
      <c r="K9" s="33" t="inlineStr">
        <is>
          <t>BatteryRepurposingProcess: ACCEPT — appropriate battery-specific specialization.</t>
        </is>
      </c>
      <c r="L9" s="33" t="inlineStr">
        <is>
          <t>BatteryRepurposingProcess SubClassOf RepurposingProcess.</t>
        </is>
      </c>
      <c r="M9" s="33" t="inlineStr">
        <is>
          <t>NO - DRAFT ONLY</t>
        </is>
      </c>
      <c r="N9" s="33" t="inlineStr">
        <is>
          <t>FULL BUILD TODO</t>
        </is>
      </c>
      <c r="O9" s="33" t="n"/>
      <c r="P9" s="33" t="inlineStr">
        <is>
          <t>DRAFT_READY_FOR_IR2</t>
        </is>
      </c>
      <c r="Q9" s="33" t="inlineStr">
        <is>
          <t>Use a battery second-life example to test participant and new-purpose relations.</t>
        </is>
      </c>
      <c r="R9" s="33" t="inlineStr">
        <is>
          <t>Full class-level definition, parent, confidence and later-axiom notes are in Class Review.</t>
        </is>
      </c>
    </row>
    <row r="10" ht="42" customHeight="1">
      <c r="A10" s="33" t="inlineStr">
        <is>
          <t>1 - LOCAL IMPLEMENTATION</t>
        </is>
      </c>
      <c r="B10" s="33" t="inlineStr">
        <is>
          <t>MKB-000180</t>
        </is>
      </c>
      <c r="C10" s="33" t="inlineStr">
        <is>
          <t>Process</t>
        </is>
      </c>
      <c r="D10" s="33" t="inlineStr">
        <is>
          <t>resource-input reduction process</t>
        </is>
      </c>
      <c r="E10" s="33" t="inlineStr">
        <is>
          <t>REFORMULATE_TO_PROCESS_AND_IMPLEMENT</t>
        </is>
      </c>
      <c r="F10" s="33" t="inlineStr">
        <is>
          <t>MatSus</t>
        </is>
      </c>
      <c r="G10" s="33" t="inlineStr">
        <is>
          <t>https://w3id.org/pmd/matsus/ResourceInputReductionProcess</t>
        </is>
      </c>
      <c r="H10" s="33" t="inlineStr">
        <is>
          <t>COB planned process (COB_0000082)</t>
        </is>
      </c>
      <c r="I10" s="33" t="inlineStr">
        <is>
          <t>IMPLEMENTED_IN_MATSUS_EDIT</t>
        </is>
      </c>
      <c r="J10" s="33" t="inlineStr">
        <is>
          <t>https://w3id.org/pmd/matsus/ResourceInputReductionProcess</t>
        </is>
      </c>
      <c r="K10" s="33" t="inlineStr">
        <is>
          <t>ResourceInputReductionProcess: REVISE BEFORE MERGE — parent is correct, but the draft phrase ‘used by another process’ is ambiguous. Define it directly through lower resource input relative to a stated baseline and comparable output.</t>
        </is>
      </c>
      <c r="L10" s="33" t="inlineStr">
        <is>
          <t>ResourceInputReductionProcess SubClassOf COB planned process.</t>
        </is>
      </c>
      <c r="M10" s="33" t="inlineStr">
        <is>
          <t>NO - DRAFT ONLY</t>
        </is>
      </c>
      <c r="N10" s="33" t="inlineStr">
        <is>
          <t>FULL BUILD TODO</t>
        </is>
      </c>
      <c r="O10" s="33" t="n"/>
      <c r="P10" s="33" t="inlineStr">
        <is>
          <t>DRAFT_READY_FOR_IR2</t>
        </is>
      </c>
      <c r="Q10" s="33" t="inlineStr">
        <is>
          <t>Test with a manufacturing example: process P2 uses less material/energy than baseline P1 under the same output specification.</t>
        </is>
      </c>
      <c r="R10" s="33" t="inlineStr">
        <is>
          <t>Full class-level definition, parent, confidence and later-axiom notes are in Class Review.</t>
        </is>
      </c>
    </row>
    <row r="11" ht="28" customHeight="1">
      <c r="A11" s="33" t="inlineStr">
        <is>
          <t>1 - LOCAL IMPLEMENTATION</t>
        </is>
      </c>
      <c r="B11" s="33" t="inlineStr">
        <is>
          <t>MKB-000181</t>
        </is>
      </c>
      <c r="C11" s="33" t="inlineStr">
        <is>
          <t>Process</t>
        </is>
      </c>
      <c r="D11" s="33" t="inlineStr">
        <is>
          <t>refill process</t>
        </is>
      </c>
      <c r="E11" s="33" t="inlineStr">
        <is>
          <t>ALIGN_TO_LOCAL_CANONICAL</t>
        </is>
      </c>
      <c r="F11" s="33" t="inlineStr">
        <is>
          <t>MatSus</t>
        </is>
      </c>
      <c r="G11" s="33" t="inlineStr">
        <is>
          <t>https://w3id.org/pmd/matsus/RefillProcess</t>
        </is>
      </c>
      <c r="H11" s="33" t="inlineStr">
        <is>
          <t>COB planned process (COB_0000082)</t>
        </is>
      </c>
      <c r="I11" s="33" t="inlineStr">
        <is>
          <t>IMPLEMENTED_IN_MATSUS_EDIT</t>
        </is>
      </c>
      <c r="J11" s="33" t="inlineStr">
        <is>
          <t>https://w3id.org/pmd/matsus/RefillProcess</t>
        </is>
      </c>
      <c r="K11" s="33" t="inlineStr">
        <is>
          <t>RefillProcess: ACCEPT — one generic process correctly consolidates at-home and on-the-go contexts.</t>
        </is>
      </c>
      <c r="L11" s="33" t="inlineStr">
        <is>
          <t>RefillProcess SubClassOf COB planned process.</t>
        </is>
      </c>
      <c r="M11" s="33" t="inlineStr">
        <is>
          <t>NO - DRAFT ONLY</t>
        </is>
      </c>
      <c r="N11" s="33" t="inlineStr">
        <is>
          <t>FULL BUILD TODO</t>
        </is>
      </c>
      <c r="O11" s="33" t="n"/>
      <c r="P11" s="33" t="inlineStr">
        <is>
          <t>DRAFT_READY_FOR_IR2</t>
        </is>
      </c>
      <c r="Q11" s="33" t="inlineStr">
        <is>
          <t>Keep at-home as source context; add a context relation only when queries require it.</t>
        </is>
      </c>
      <c r="R11" s="33" t="inlineStr">
        <is>
          <t>Full class-level definition, parent, confidence and later-axiom notes are in Class Review.</t>
        </is>
      </c>
    </row>
    <row r="12" ht="28" customHeight="1">
      <c r="A12" s="33" t="inlineStr">
        <is>
          <t>1 - LOCAL IMPLEMENTATION</t>
        </is>
      </c>
      <c r="B12" s="33" t="inlineStr">
        <is>
          <t>MKB-000182</t>
        </is>
      </c>
      <c r="C12" s="33" t="inlineStr">
        <is>
          <t>Process</t>
        </is>
      </c>
      <c r="D12" s="33" t="inlineStr">
        <is>
          <t>refill process</t>
        </is>
      </c>
      <c r="E12" s="33" t="inlineStr">
        <is>
          <t>ALIGN_TO_LOCAL_CANONICAL</t>
        </is>
      </c>
      <c r="F12" s="33" t="inlineStr">
        <is>
          <t>MatSus</t>
        </is>
      </c>
      <c r="G12" s="33" t="inlineStr">
        <is>
          <t>https://w3id.org/pmd/matsus/RefillProcess</t>
        </is>
      </c>
      <c r="H12" s="33" t="inlineStr">
        <is>
          <t>COB planned process (COB_0000082)</t>
        </is>
      </c>
      <c r="I12" s="33" t="inlineStr">
        <is>
          <t>IMPLEMENTED_IN_MATSUS_EDIT</t>
        </is>
      </c>
      <c r="J12" s="33" t="inlineStr">
        <is>
          <t>https://w3id.org/pmd/matsus/RefillProcess</t>
        </is>
      </c>
      <c r="K12" s="33" t="inlineStr">
        <is>
          <t>RefillProcess: ACCEPT — one generic process correctly consolidates at-home and on-the-go contexts.</t>
        </is>
      </c>
      <c r="L12" s="33" t="inlineStr">
        <is>
          <t>RefillProcess SubClassOf COB planned process.</t>
        </is>
      </c>
      <c r="M12" s="33" t="inlineStr">
        <is>
          <t>NO - DRAFT ONLY</t>
        </is>
      </c>
      <c r="N12" s="33" t="inlineStr">
        <is>
          <t>FULL BUILD TODO</t>
        </is>
      </c>
      <c r="O12" s="33" t="n"/>
      <c r="P12" s="33" t="inlineStr">
        <is>
          <t>DRAFT_READY_FOR_IR2</t>
        </is>
      </c>
      <c r="Q12" s="33" t="inlineStr">
        <is>
          <t>Keep away-from-home as source context; add a context relation only when queries require it.</t>
        </is>
      </c>
      <c r="R12" s="33" t="inlineStr">
        <is>
          <t>Full class-level definition, parent, confidence and later-axiom notes are in Class Review.</t>
        </is>
      </c>
    </row>
    <row r="13" ht="28" customHeight="1">
      <c r="A13" s="33" t="inlineStr">
        <is>
          <t>1 - LOCAL IMPLEMENTATION</t>
        </is>
      </c>
      <c r="B13" s="33" t="inlineStr">
        <is>
          <t>MKB-000184</t>
        </is>
      </c>
      <c r="C13" s="33" t="inlineStr">
        <is>
          <t>Process</t>
        </is>
      </c>
      <c r="D13" s="33" t="inlineStr">
        <is>
          <t>refusal process</t>
        </is>
      </c>
      <c r="E13" s="33" t="inlineStr">
        <is>
          <t>REFORMULATE_TO_PROCESS_AND_IMPLEMENT</t>
        </is>
      </c>
      <c r="F13" s="33" t="inlineStr">
        <is>
          <t>MatSus</t>
        </is>
      </c>
      <c r="G13" s="33" t="inlineStr">
        <is>
          <t>https://w3id.org/pmd/matsus/RefusalProcess</t>
        </is>
      </c>
      <c r="H13" s="33" t="inlineStr">
        <is>
          <t>COB planned process (COB_0000082)</t>
        </is>
      </c>
      <c r="I13" s="33" t="inlineStr">
        <is>
          <t>IMPLEMENTED_IN_MATSUS_EDIT</t>
        </is>
      </c>
      <c r="J13" s="33" t="inlineStr">
        <is>
          <t>https://w3id.org/pmd/matsus/RefusalProcess</t>
        </is>
      </c>
      <c r="K13" s="33" t="inlineStr">
        <is>
          <t>RefusalProcess: ACCEPT — intentional refusal is appropriately a planned process rather than a bare verb class.</t>
        </is>
      </c>
      <c r="L13" s="33" t="inlineStr">
        <is>
          <t>RefusalProcess SubClassOf COB planned process.</t>
        </is>
      </c>
      <c r="M13" s="33" t="inlineStr">
        <is>
          <t>NO - DRAFT ONLY</t>
        </is>
      </c>
      <c r="N13" s="33" t="inlineStr">
        <is>
          <t>FULL BUILD TODO</t>
        </is>
      </c>
      <c r="O13" s="33" t="n"/>
      <c r="P13" s="33" t="inlineStr">
        <is>
          <t>DRAFT_READY_FOR_IR2</t>
        </is>
      </c>
      <c r="Q13" s="33" t="inlineStr">
        <is>
          <t>Test with a user declining single-use packaging; add agent/object relations during axiomatization.</t>
        </is>
      </c>
      <c r="R13" s="33" t="inlineStr">
        <is>
          <t>Full class-level definition, parent, confidence and later-axiom notes are in Class Review.</t>
        </is>
      </c>
    </row>
    <row r="14" ht="28" customHeight="1">
      <c r="A14" s="33" t="inlineStr">
        <is>
          <t>1 - LOCAL IMPLEMENTATION</t>
        </is>
      </c>
      <c r="B14" s="33" t="inlineStr">
        <is>
          <t>MKB-000189</t>
        </is>
      </c>
      <c r="C14" s="33" t="inlineStr">
        <is>
          <t>Process</t>
        </is>
      </c>
      <c r="D14" s="33" t="inlineStr">
        <is>
          <t>remanufacturing process</t>
        </is>
      </c>
      <c r="E14" s="33" t="inlineStr">
        <is>
          <t>REFORMULATE_TO_PROCESS_AND_IMPLEMENT</t>
        </is>
      </c>
      <c r="F14" s="33" t="inlineStr">
        <is>
          <t>MatSus</t>
        </is>
      </c>
      <c r="G14" s="33" t="inlineStr">
        <is>
          <t>https://w3id.org/pmd/matsus/RemanufacturingProcess</t>
        </is>
      </c>
      <c r="H14" s="33" t="inlineStr">
        <is>
          <t>COB planned process (COB_0000082)</t>
        </is>
      </c>
      <c r="I14" s="33" t="inlineStr">
        <is>
          <t>IMPLEMENTED_IN_MATSUS_EDIT</t>
        </is>
      </c>
      <c r="J14" s="33" t="inlineStr">
        <is>
          <t>https://w3id.org/pmd/matsus/RemanufacturingProcess</t>
        </is>
      </c>
      <c r="K14" s="33" t="inlineStr">
        <is>
          <t>RemanufacturingProcess: ACCEPT — process parent and restorative-performance definition are defensible.</t>
        </is>
      </c>
      <c r="L14" s="33" t="inlineStr">
        <is>
          <t>RemanufacturingProcess SubClassOf COB planned process.</t>
        </is>
      </c>
      <c r="M14" s="33" t="inlineStr">
        <is>
          <t>NO - DRAFT ONLY</t>
        </is>
      </c>
      <c r="N14" s="33" t="inlineStr">
        <is>
          <t>FULL BUILD TODO</t>
        </is>
      </c>
      <c r="O14" s="33" t="n"/>
      <c r="P14" s="33" t="inlineStr">
        <is>
          <t>DRAFT_READY_FOR_IR2</t>
        </is>
      </c>
      <c r="Q14" s="33" t="inlineStr">
        <is>
          <t>If a capability query later needs remanufacturability, evaluate direct reuse of AutomatCE AUTOMATCE_0010231; do not duplicate it now.</t>
        </is>
      </c>
      <c r="R14" s="33" t="inlineStr">
        <is>
          <t>Full class-level definition, parent, confidence and later-axiom notes are in Class Review.</t>
        </is>
      </c>
    </row>
    <row r="15" ht="28" customHeight="1">
      <c r="A15" s="33" t="inlineStr">
        <is>
          <t>1 - LOCAL IMPLEMENTATION</t>
        </is>
      </c>
      <c r="B15" s="33" t="inlineStr">
        <is>
          <t>MKB-000202</t>
        </is>
      </c>
      <c r="C15" s="33" t="inlineStr">
        <is>
          <t>Process</t>
        </is>
      </c>
      <c r="D15" s="33" t="inlineStr">
        <is>
          <t>repurposing process</t>
        </is>
      </c>
      <c r="E15" s="33" t="inlineStr">
        <is>
          <t>ALIGN_TO_LOCAL_CANONICAL</t>
        </is>
      </c>
      <c r="F15" s="33" t="inlineStr">
        <is>
          <t>MatSus</t>
        </is>
      </c>
      <c r="G15" s="33" t="inlineStr">
        <is>
          <t>https://w3id.org/pmd/matsus/RepurposingProcess</t>
        </is>
      </c>
      <c r="H15" s="33" t="inlineStr">
        <is>
          <t>COB planned process (COB_0000082)</t>
        </is>
      </c>
      <c r="I15" s="33" t="inlineStr">
        <is>
          <t>IMPLEMENTED_IN_MATSUS_EDIT</t>
        </is>
      </c>
      <c r="J15" s="33" t="inlineStr">
        <is>
          <t>https://w3id.org/pmd/matsus/RepurposingProcess</t>
        </is>
      </c>
      <c r="K15" s="33" t="inlineStr">
        <is>
          <t>RepurposingProcess: ACCEPT — the new-purpose distinction is captured clearly.</t>
        </is>
      </c>
      <c r="L15" s="33" t="inlineStr">
        <is>
          <t>RepurposingProcess SubClassOf COB planned process.</t>
        </is>
      </c>
      <c r="M15" s="33" t="inlineStr">
        <is>
          <t>NO - DRAFT ONLY</t>
        </is>
      </c>
      <c r="N15" s="33" t="inlineStr">
        <is>
          <t>FULL BUILD TODO</t>
        </is>
      </c>
      <c r="O15" s="33" t="n"/>
      <c r="P15" s="33" t="inlineStr">
        <is>
          <t>DRAFT_READY_FOR_IR2</t>
        </is>
      </c>
      <c r="Q15" s="33" t="inlineStr">
        <is>
          <t>Represent new intended purpose and prior intended purpose in a later relation/SHACL pattern.</t>
        </is>
      </c>
      <c r="R15" s="33" t="inlineStr">
        <is>
          <t>Full class-level definition, parent, confidence and later-axiom notes are in Class Review.</t>
        </is>
      </c>
    </row>
    <row r="16" ht="56" customHeight="1">
      <c r="A16" s="33" t="inlineStr">
        <is>
          <t>1 - LOCAL IMPLEMENTATION</t>
        </is>
      </c>
      <c r="B16" s="33" t="inlineStr">
        <is>
          <t>MKB-000247</t>
        </is>
      </c>
      <c r="C16" s="33" t="inlineStr">
        <is>
          <t>Process</t>
        </is>
      </c>
      <c r="D16" s="33" t="inlineStr">
        <is>
          <t>textile material flow process</t>
        </is>
      </c>
      <c r="E16" s="33" t="inlineStr">
        <is>
          <t>IMPLEMENT_LOCAL_MATSUS_TERM</t>
        </is>
      </c>
      <c r="F16" s="33" t="inlineStr">
        <is>
          <t>MatSus; later LOG review</t>
        </is>
      </c>
      <c r="G16" s="33" t="inlineStr">
        <is>
          <t>https://w3id.org/pmd/matsus/TextileMaterialFlowProcess</t>
        </is>
      </c>
      <c r="H16" s="33" t="inlineStr">
        <is>
          <t>MatSus material flow process</t>
        </is>
      </c>
      <c r="I16" s="33" t="inlineStr">
        <is>
          <t>IMPLEMENTED_IN_MATSUS_EDIT</t>
        </is>
      </c>
      <c r="J16" s="33" t="inlineStr">
        <is>
          <t>https://w3id.org/pmd/matsus/MaterialFlowProcess | https://w3id.org/pmd/matsus/TextileMaterialFlowProcess</t>
        </is>
      </c>
      <c r="K16" s="33" t="inlineStr">
        <is>
          <t>MaterialFlowProcess: ACCEPT PROVISIONALLY — generic process parent is safe, but LOG alignment should be revisited before strengthening the hierarchy. | TextileMaterialFlowProcess: ACCEPT PROVISIONALLY — correct material-specific specialization of the provisional flow process.</t>
        </is>
      </c>
      <c r="L16" s="33" t="inlineStr">
        <is>
          <t>MaterialFlowProcess SubClassOf BFO process. | TextileMaterialFlowProcess SubClassOf MaterialFlowProcess.</t>
        </is>
      </c>
      <c r="M16" s="33" t="inlineStr">
        <is>
          <t>NO - DRAFT ONLY</t>
        </is>
      </c>
      <c r="N16" s="33" t="inlineStr">
        <is>
          <t>FULL BUILD TODO</t>
        </is>
      </c>
      <c r="O16" s="33" t="n"/>
      <c r="P16" s="33" t="inlineStr">
        <is>
          <t>DRAFT_READY_FOR_IR2</t>
        </is>
      </c>
      <c r="Q16" s="33" t="inlineStr">
        <is>
          <t>Ask LOG colleagues whether MaterialFlowProcess should move upstream after a supply-chain competency example is available.</t>
        </is>
      </c>
      <c r="R16" s="33" t="inlineStr">
        <is>
          <t>Full class-level definition, parent, confidence and later-axiom notes are in Class Review.</t>
        </is>
      </c>
    </row>
    <row r="17" ht="28" customHeight="1">
      <c r="A17" s="33" t="inlineStr">
        <is>
          <t>1 - LOCAL IMPLEMENTATION</t>
        </is>
      </c>
      <c r="B17" s="33" t="inlineStr">
        <is>
          <t>MKB-000002</t>
        </is>
      </c>
      <c r="C17" s="33" t="inlineStr">
        <is>
          <t>Quality/data/pattern</t>
        </is>
      </c>
      <c r="D17" s="33" t="inlineStr">
        <is>
          <t>decoupling</t>
        </is>
      </c>
      <c r="E17" s="33" t="inlineStr">
        <is>
          <t>ALIGN_TO_LOCAL_CANONICAL</t>
        </is>
      </c>
      <c r="F17" s="33" t="inlineStr">
        <is>
          <t>MatSus</t>
        </is>
      </c>
      <c r="G17" s="33" t="inlineStr">
        <is>
          <t>https://w3id.org/pmd/matsus/Decoupling</t>
        </is>
      </c>
      <c r="H17" s="33" t="inlineStr">
        <is>
          <t>IAO data item (IAO_0000027)</t>
        </is>
      </c>
      <c r="I17" s="33" t="inlineStr">
        <is>
          <t>IMPLEMENTED_CANONICAL_DEFERRED_NARROWER</t>
        </is>
      </c>
      <c r="J17" s="33" t="inlineStr">
        <is>
          <t>https://w3id.org/pmd/matsus/Decoupling</t>
        </is>
      </c>
      <c r="K17" s="33" t="inlineStr">
        <is>
          <t>Decoupling: ACCEPT — the definition makes clear that the class records a comparative relationship; absolute decoupling remains correctly deferred.</t>
        </is>
      </c>
      <c r="L17" s="33" t="inlineStr">
        <is>
          <t>Decoupling SubClassOf IAO data item.</t>
        </is>
      </c>
      <c r="M17" s="33" t="inlineStr">
        <is>
          <t>NO - DRAFT ONLY</t>
        </is>
      </c>
      <c r="N17" s="33" t="inlineStr">
        <is>
          <t>FULL BUILD TODO</t>
        </is>
      </c>
      <c r="O17" s="33" t="n"/>
      <c r="P17" s="33" t="inlineStr">
        <is>
          <t>DRAFT_READY_FOR_IR2</t>
        </is>
      </c>
      <c r="Q17" s="33" t="inlineStr">
        <is>
          <t>Defer AbsoluteDecoupling until the ratio/baseline pattern is tested.</t>
        </is>
      </c>
      <c r="R17" s="33" t="inlineStr">
        <is>
          <t>Full class-level definition, parent, confidence and later-axiom notes are in Class Review.</t>
        </is>
      </c>
    </row>
    <row r="18" ht="28" customHeight="1">
      <c r="A18" s="33" t="inlineStr">
        <is>
          <t>1 - LOCAL IMPLEMENTATION</t>
        </is>
      </c>
      <c r="B18" s="33" t="inlineStr">
        <is>
          <t>MKB-000069</t>
        </is>
      </c>
      <c r="C18" s="33" t="inlineStr">
        <is>
          <t>Quality/data/pattern</t>
        </is>
      </c>
      <c r="D18" s="33" t="inlineStr">
        <is>
          <t>decoupling</t>
        </is>
      </c>
      <c r="E18" s="33" t="inlineStr">
        <is>
          <t>IMPLEMENT_LOCAL_MATSUS_TERM</t>
        </is>
      </c>
      <c r="F18" s="33" t="inlineStr">
        <is>
          <t>MatSus</t>
        </is>
      </c>
      <c r="G18" s="33" t="inlineStr">
        <is>
          <t>https://w3id.org/pmd/matsus/Decoupling</t>
        </is>
      </c>
      <c r="H18" s="33" t="inlineStr">
        <is>
          <t>IAO data item (IAO_0000027)</t>
        </is>
      </c>
      <c r="I18" s="33" t="inlineStr">
        <is>
          <t>IMPLEMENTED_IN_MATSUS_EDIT</t>
        </is>
      </c>
      <c r="J18" s="33" t="inlineStr">
        <is>
          <t>https://w3id.org/pmd/matsus/Decoupling</t>
        </is>
      </c>
      <c r="K18" s="33" t="inlineStr">
        <is>
          <t>Decoupling: ACCEPT — the definition makes clear that the class records a comparative relationship; absolute decoupling remains correctly deferred.</t>
        </is>
      </c>
      <c r="L18" s="33" t="inlineStr">
        <is>
          <t>Decoupling SubClassOf IAO data item.</t>
        </is>
      </c>
      <c r="M18" s="33" t="inlineStr">
        <is>
          <t>NO - DRAFT ONLY</t>
        </is>
      </c>
      <c r="N18" s="33" t="inlineStr">
        <is>
          <t>FULL BUILD TODO</t>
        </is>
      </c>
      <c r="O18" s="33" t="n"/>
      <c r="P18" s="33" t="inlineStr">
        <is>
          <t>DRAFT_READY_FOR_IR2</t>
        </is>
      </c>
      <c r="Q18" s="33" t="inlineStr">
        <is>
          <t>Test with one economic-output/resource-input time-series example.</t>
        </is>
      </c>
      <c r="R18" s="33" t="inlineStr">
        <is>
          <t>Full class-level definition, parent, confidence and later-axiom notes are in Class Review.</t>
        </is>
      </c>
    </row>
    <row r="19" ht="28" customHeight="1">
      <c r="A19" s="33" t="inlineStr">
        <is>
          <t>1 - LOCAL IMPLEMENTATION</t>
        </is>
      </c>
      <c r="B19" s="33" t="inlineStr">
        <is>
          <t>MKB-000146</t>
        </is>
      </c>
      <c r="C19" s="33" t="inlineStr">
        <is>
          <t>Quality/data/pattern</t>
        </is>
      </c>
      <c r="D19" s="33" t="inlineStr">
        <is>
          <t>modularity</t>
        </is>
      </c>
      <c r="E19" s="33" t="inlineStr">
        <is>
          <t>IMPLEMENT_LOCAL_MATSUS_TERM</t>
        </is>
      </c>
      <c r="F19" s="33" t="inlineStr">
        <is>
          <t>MatSus</t>
        </is>
      </c>
      <c r="G19" s="33" t="inlineStr">
        <is>
          <t>https://w3id.org/pmd/matsus/Modularity</t>
        </is>
      </c>
      <c r="H19" s="33" t="inlineStr">
        <is>
          <t>BFO quality (BFO_0000019)</t>
        </is>
      </c>
      <c r="I19" s="33" t="inlineStr">
        <is>
          <t>IMPLEMENTED_IN_MATSUS_EDIT</t>
        </is>
      </c>
      <c r="J19" s="33" t="inlineStr">
        <is>
          <t>https://w3id.org/pmd/matsus/Modularity</t>
        </is>
      </c>
      <c r="K19" s="33" t="inlineStr">
        <is>
          <t>Modularity: ACCEPT — degree of modular organization is appropriately represented as a quality.</t>
        </is>
      </c>
      <c r="L19" s="33" t="inlineStr">
        <is>
          <t>Modularity SubClassOf BFO quality.</t>
        </is>
      </c>
      <c r="M19" s="33" t="inlineStr">
        <is>
          <t>NO - DRAFT ONLY</t>
        </is>
      </c>
      <c r="N19" s="33" t="inlineStr">
        <is>
          <t>FULL BUILD TODO</t>
        </is>
      </c>
      <c r="O19" s="33" t="n"/>
      <c r="P19" s="33" t="inlineStr">
        <is>
          <t>DRAFT_READY_FOR_IR2</t>
        </is>
      </c>
      <c r="Q19" s="33" t="inlineStr">
        <is>
          <t>Add a measurement datum/method only when a modularity metric is selected.</t>
        </is>
      </c>
      <c r="R19" s="33" t="inlineStr">
        <is>
          <t>Full class-level definition, parent, confidence and later-axiom notes are in Class Review.</t>
        </is>
      </c>
    </row>
    <row r="20" ht="28" customHeight="1">
      <c r="A20" s="33" t="inlineStr">
        <is>
          <t>1 - LOCAL IMPLEMENTATION</t>
        </is>
      </c>
      <c r="B20" s="33" t="inlineStr">
        <is>
          <t>MKB-000205</t>
        </is>
      </c>
      <c r="C20" s="33" t="inlineStr">
        <is>
          <t>Quality/data/pattern</t>
        </is>
      </c>
      <c r="D20" s="33" t="inlineStr">
        <is>
          <t>resource efficiency datum</t>
        </is>
      </c>
      <c r="E20" s="33" t="inlineStr">
        <is>
          <t>IMPLEMENT_LOCAL_MATSUS_TERM</t>
        </is>
      </c>
      <c r="F20" s="33" t="inlineStr">
        <is>
          <t>MatSus</t>
        </is>
      </c>
      <c r="G20" s="33" t="inlineStr">
        <is>
          <t>https://w3id.org/pmd/matsus/ResourceEfficiencyDatum</t>
        </is>
      </c>
      <c r="H20" s="33" t="inlineStr">
        <is>
          <t>IAO data item (IAO_0000027)</t>
        </is>
      </c>
      <c r="I20" s="33" t="inlineStr">
        <is>
          <t>IMPLEMENTED_IN_MATSUS_EDIT</t>
        </is>
      </c>
      <c r="J20" s="33" t="inlineStr">
        <is>
          <t>https://w3id.org/pmd/matsus/ResourceEfficiencyDatum</t>
        </is>
      </c>
      <c r="K20" s="33" t="inlineStr">
        <is>
          <t>ResourceEfficiencyDatum: ACCEPT — the class is a calculated/result datum, not an intrinsic universal ‘efficiency’.</t>
        </is>
      </c>
      <c r="L20" s="33" t="inlineStr">
        <is>
          <t>ResourceEfficiencyDatum SubClassOf IAO data item.</t>
        </is>
      </c>
      <c r="M20" s="33" t="inlineStr">
        <is>
          <t>NO - DRAFT ONLY</t>
        </is>
      </c>
      <c r="N20" s="33" t="inlineStr">
        <is>
          <t>FULL BUILD TODO</t>
        </is>
      </c>
      <c r="O20" s="33" t="n"/>
      <c r="P20" s="33" t="inlineStr">
        <is>
          <t>DRAFT_READY_FOR_IR2</t>
        </is>
      </c>
      <c r="Q20" s="33" t="inlineStr">
        <is>
          <t>Use material resource efficiency as a subtype and add energy/resource subtypes only from competency queries.</t>
        </is>
      </c>
      <c r="R20" s="33" t="inlineStr">
        <is>
          <t>Full class-level definition, parent, confidence and later-axiom notes are in Class Review.</t>
        </is>
      </c>
    </row>
    <row r="21" ht="56" customHeight="1">
      <c r="A21" s="33" t="inlineStr">
        <is>
          <t>1 - LOCAL IMPLEMENTATION</t>
        </is>
      </c>
      <c r="B21" s="33" t="inlineStr">
        <is>
          <t>MKB-000063</t>
        </is>
      </c>
      <c r="C21" s="33" t="inlineStr">
        <is>
          <t>Waste package</t>
        </is>
      </c>
      <c r="D21" s="33" t="inlineStr">
        <is>
          <t>construction and demolition waste</t>
        </is>
      </c>
      <c r="E21" s="33" t="inlineStr">
        <is>
          <t>IMPLEMENT_LOCAL_MATSUS_TERM</t>
        </is>
      </c>
      <c r="F21" s="33" t="inlineStr">
        <is>
          <t>MatSus</t>
        </is>
      </c>
      <c r="G21" s="33" t="inlineStr">
        <is>
          <t>https://w3id.org/pmd/matsus/ConstructionAndDemolitionWaste</t>
        </is>
      </c>
      <c r="H21" s="33" t="inlineStr">
        <is>
          <t>MatSus waste material (provisional PMDco handoff anchor)</t>
        </is>
      </c>
      <c r="I21" s="33" t="inlineStr">
        <is>
          <t>IMPLEMENTED_IN_MATSUS_EDIT</t>
        </is>
      </c>
      <c r="J21" s="33" t="inlineStr">
        <is>
          <t>https://w3id.org/pmd/matsus/ConstructionAndDemolitionWaste</t>
        </is>
      </c>
      <c r="K21" s="33" t="inlineStr">
        <is>
          <t>ConstructionAndDemolitionWaste: ACCEPT — clear waste subtype under the provisional waste-material anchor.</t>
        </is>
      </c>
      <c r="L21" s="33" t="inlineStr">
        <is>
          <t>ConstructionAndDemolitionWaste SubClassOf WasteMaterial.</t>
        </is>
      </c>
      <c r="M21" s="33" t="inlineStr">
        <is>
          <t>NO - DRAFT ONLY</t>
        </is>
      </c>
      <c r="N21" s="33" t="inlineStr">
        <is>
          <t>FULL BUILD TODO</t>
        </is>
      </c>
      <c r="O21" s="33" t="inlineStr">
        <is>
          <t>https://github.com/materialdigital/core-ontology/issues/485 — provisional MatSus implementation proceeds while PMDco decides the anchors</t>
        </is>
      </c>
      <c r="P21" s="33" t="inlineStr">
        <is>
          <t>PROVISIONAL_DRAFT_READY</t>
        </is>
      </c>
      <c r="Q21" s="33" t="inlineStr">
        <is>
          <t>Implement now in MatSus using provisional WasteRole/WasteMaterial anchors. If PMDco later accepts equivalent anchors, migrate/reconcile mappings, parents and restrictions; do not delete the MatSus specializations.</t>
        </is>
      </c>
      <c r="R21" s="33" t="inlineStr">
        <is>
          <t>Full class-level definition, parent, confidence and later-axiom notes are in Class Review.</t>
        </is>
      </c>
    </row>
    <row r="22" ht="56" customHeight="1">
      <c r="A22" s="33" t="inlineStr">
        <is>
          <t>1 - LOCAL IMPLEMENTATION</t>
        </is>
      </c>
      <c r="B22" s="33" t="inlineStr">
        <is>
          <t>MKB-000085</t>
        </is>
      </c>
      <c r="C22" s="33" t="inlineStr">
        <is>
          <t>Waste package</t>
        </is>
      </c>
      <c r="D22" s="33" t="inlineStr">
        <is>
          <t>waste-or-pollution elimination objective specification</t>
        </is>
      </c>
      <c r="E22" s="33" t="inlineStr">
        <is>
          <t>REFORMULATE_TO_SPECIFICATION_AND_IMPLEMENT</t>
        </is>
      </c>
      <c r="F22" s="33" t="inlineStr">
        <is>
          <t>MatSus</t>
        </is>
      </c>
      <c r="G22" s="33" t="inlineStr">
        <is>
          <t>https://w3id.org/pmd/matsus/WasteOrPollutionEliminationObjectiveSpecification</t>
        </is>
      </c>
      <c r="H22" s="33" t="inlineStr">
        <is>
          <t>IAO objective specification (IAO_0000005)</t>
        </is>
      </c>
      <c r="I22" s="33" t="inlineStr">
        <is>
          <t>IMPLEMENTED_IN_MATSUS_EDIT</t>
        </is>
      </c>
      <c r="J22" s="33" t="inlineStr">
        <is>
          <t>https://w3id.org/pmd/matsus/WasteOrPollutionEliminationObjectiveSpecification</t>
        </is>
      </c>
      <c r="K22" s="33" t="inlineStr">
        <is>
          <t>WasteOrPollutionEliminationObjectiveSpecification: ACCEPT PROVISIONALLY — objective-specification modelling is correct; pollution still needs an independently scoped target entity/pattern.</t>
        </is>
      </c>
      <c r="L22" s="33" t="inlineStr">
        <is>
          <t>WasteOrPollutionEliminationObjectiveSpecification SubClassOf IAO objective specification.</t>
        </is>
      </c>
      <c r="M22" s="33" t="inlineStr">
        <is>
          <t>NO - DRAFT ONLY</t>
        </is>
      </c>
      <c r="N22" s="33" t="inlineStr">
        <is>
          <t>FULL BUILD TODO</t>
        </is>
      </c>
      <c r="O22" s="33" t="inlineStr">
        <is>
          <t>https://github.com/materialdigital/core-ontology/issues/485 — provisional MatSus implementation proceeds while PMDco decides the anchors</t>
        </is>
      </c>
      <c r="P22" s="33" t="inlineStr">
        <is>
          <t>PROVISIONAL_DRAFT_READY</t>
        </is>
      </c>
      <c r="Q22" s="33" t="inlineStr">
        <is>
          <t>Implement now in MatSus using provisional WasteRole/WasteMaterial anchors. If PMDco later accepts equivalent anchors, migrate/reconcile mappings, parents and restrictions; do not delete the MatSus specializations.</t>
        </is>
      </c>
      <c r="R22" s="33" t="inlineStr">
        <is>
          <t>Full class-level definition, parent, confidence and later-axiom notes are in Class Review.</t>
        </is>
      </c>
    </row>
    <row r="23" ht="56" customHeight="1">
      <c r="A23" s="33" t="inlineStr">
        <is>
          <t>1 - LOCAL IMPLEMENTATION</t>
        </is>
      </c>
      <c r="B23" s="33" t="inlineStr">
        <is>
          <t>MKB-000144</t>
        </is>
      </c>
      <c r="C23" s="33" t="inlineStr">
        <is>
          <t>Waste package</t>
        </is>
      </c>
      <c r="D23" s="33" t="inlineStr">
        <is>
          <t>mineral waste</t>
        </is>
      </c>
      <c r="E23" s="33" t="inlineStr">
        <is>
          <t>IMPLEMENT_LOCAL_MATSUS_TERM</t>
        </is>
      </c>
      <c r="F23" s="33" t="inlineStr">
        <is>
          <t>MatSus</t>
        </is>
      </c>
      <c r="G23" s="33" t="inlineStr">
        <is>
          <t>https://w3id.org/pmd/matsus/MineralWaste</t>
        </is>
      </c>
      <c r="H23" s="33" t="inlineStr">
        <is>
          <t>MatSus waste material (provisional PMDco handoff anchor)</t>
        </is>
      </c>
      <c r="I23" s="33" t="inlineStr">
        <is>
          <t>IMPLEMENTED_IN_MATSUS_EDIT</t>
        </is>
      </c>
      <c r="J23" s="33" t="inlineStr">
        <is>
          <t>https://w3id.org/pmd/matsus/MineralWaste</t>
        </is>
      </c>
      <c r="K23" s="33" t="inlineStr">
        <is>
          <t>MineralWaste: ACCEPT PROVISIONALLY — parent is correct; retain the source scope because ‘predominantly mineral’ may require a threshold or classification rule.</t>
        </is>
      </c>
      <c r="L23" s="33" t="inlineStr">
        <is>
          <t>MineralWaste SubClassOf WasteMaterial.</t>
        </is>
      </c>
      <c r="M23" s="33" t="inlineStr">
        <is>
          <t>NO - DRAFT ONLY</t>
        </is>
      </c>
      <c r="N23" s="33" t="inlineStr">
        <is>
          <t>FULL BUILD TODO</t>
        </is>
      </c>
      <c r="O23" s="33" t="inlineStr">
        <is>
          <t>https://github.com/materialdigital/core-ontology/issues/485 — provisional MatSus implementation proceeds while PMDco decides the anchors</t>
        </is>
      </c>
      <c r="P23" s="33" t="inlineStr">
        <is>
          <t>PROVISIONAL_DRAFT_READY</t>
        </is>
      </c>
      <c r="Q23" s="33" t="inlineStr">
        <is>
          <t>Implement now in MatSus using provisional WasteRole/WasteMaterial anchors. If PMDco later accepts equivalent anchors, migrate/reconcile mappings, parents and restrictions; do not delete the MatSus specializations.</t>
        </is>
      </c>
      <c r="R23" s="33" t="inlineStr">
        <is>
          <t>Full class-level definition, parent, confidence and later-axiom notes are in Class Review.</t>
        </is>
      </c>
    </row>
    <row r="24" ht="56" customHeight="1">
      <c r="A24" s="33" t="inlineStr">
        <is>
          <t>1 - LOCAL IMPLEMENTATION</t>
        </is>
      </c>
      <c r="B24" s="33" t="inlineStr">
        <is>
          <t>MKB-000148</t>
        </is>
      </c>
      <c r="C24" s="33" t="inlineStr">
        <is>
          <t>Waste package</t>
        </is>
      </c>
      <c r="D24" s="33" t="inlineStr">
        <is>
          <t>municipal waste</t>
        </is>
      </c>
      <c r="E24" s="33" t="inlineStr">
        <is>
          <t>IMPLEMENT_LOCAL_MATSUS_TERM</t>
        </is>
      </c>
      <c r="F24" s="33" t="inlineStr">
        <is>
          <t>MatSus</t>
        </is>
      </c>
      <c r="G24" s="33" t="inlineStr">
        <is>
          <t>https://w3id.org/pmd/matsus/MunicipalWaste</t>
        </is>
      </c>
      <c r="H24" s="33" t="inlineStr">
        <is>
          <t>MatSus waste material (provisional PMDco handoff anchor)</t>
        </is>
      </c>
      <c r="I24" s="33" t="inlineStr">
        <is>
          <t>IMPLEMENTED_IN_MATSUS_EDIT</t>
        </is>
      </c>
      <c r="J24" s="33" t="inlineStr">
        <is>
          <t>https://w3id.org/pmd/matsus/MunicipalWaste</t>
        </is>
      </c>
      <c r="K24" s="33" t="inlineStr">
        <is>
          <t>MunicipalWaste: ACCEPT — definition and parent match the intended household/similar-source scope.</t>
        </is>
      </c>
      <c r="L24" s="33" t="inlineStr">
        <is>
          <t>MunicipalWaste SubClassOf WasteMaterial.</t>
        </is>
      </c>
      <c r="M24" s="33" t="inlineStr">
        <is>
          <t>NO - DRAFT ONLY</t>
        </is>
      </c>
      <c r="N24" s="33" t="inlineStr">
        <is>
          <t>FULL BUILD TODO</t>
        </is>
      </c>
      <c r="O24" s="33" t="inlineStr">
        <is>
          <t>https://github.com/materialdigital/core-ontology/issues/485 — provisional MatSus implementation proceeds while PMDco decides the anchors</t>
        </is>
      </c>
      <c r="P24" s="33" t="inlineStr">
        <is>
          <t>PROVISIONAL_DRAFT_READY</t>
        </is>
      </c>
      <c r="Q24" s="33" t="inlineStr">
        <is>
          <t>Implement now in MatSus using provisional WasteRole/WasteMaterial anchors. If PMDco later accepts equivalent anchors, migrate/reconcile mappings, parents and restrictions; do not delete the MatSus specializations.</t>
        </is>
      </c>
      <c r="R24" s="33" t="inlineStr">
        <is>
          <t>Full class-level definition, parent, confidence and later-axiom notes are in Class Review.</t>
        </is>
      </c>
    </row>
    <row r="25" ht="56" customHeight="1">
      <c r="A25" s="33" t="inlineStr">
        <is>
          <t>1 - LOCAL IMPLEMENTATION</t>
        </is>
      </c>
      <c r="B25" s="33" t="inlineStr">
        <is>
          <t>MKB-000155</t>
        </is>
      </c>
      <c r="C25" s="33" t="inlineStr">
        <is>
          <t>Waste package</t>
        </is>
      </c>
      <c r="D25" s="33" t="inlineStr">
        <is>
          <t>packaging waste</t>
        </is>
      </c>
      <c r="E25" s="33" t="inlineStr">
        <is>
          <t>IMPLEMENT_LOCAL_MATSUS_TERM</t>
        </is>
      </c>
      <c r="F25" s="33" t="inlineStr">
        <is>
          <t>MatSus</t>
        </is>
      </c>
      <c r="G25" s="33" t="inlineStr">
        <is>
          <t>https://w3id.org/pmd/matsus/PackagingWaste</t>
        </is>
      </c>
      <c r="H25" s="33" t="inlineStr">
        <is>
          <t>MatSus waste material (provisional PMDco handoff anchor)</t>
        </is>
      </c>
      <c r="I25" s="33" t="inlineStr">
        <is>
          <t>IMPLEMENTED_IN_MATSUS_EDIT</t>
        </is>
      </c>
      <c r="J25" s="33" t="inlineStr">
        <is>
          <t>https://w3id.org/pmd/matsus/PackagingWaste</t>
        </is>
      </c>
      <c r="K25" s="33" t="inlineStr">
        <is>
          <t>PackagingWaste: REVISE BEFORE MERGE — parent is correct; definition should be aligned explicitly with the selected packaging-waste source and its exclusions.</t>
        </is>
      </c>
      <c r="L25" s="33" t="inlineStr">
        <is>
          <t>PackagingWaste SubClassOf WasteMaterial.</t>
        </is>
      </c>
      <c r="M25" s="33" t="inlineStr">
        <is>
          <t>NO - DRAFT ONLY</t>
        </is>
      </c>
      <c r="N25" s="33" t="inlineStr">
        <is>
          <t>FULL BUILD TODO</t>
        </is>
      </c>
      <c r="O25" s="33" t="inlineStr">
        <is>
          <t>https://github.com/materialdigital/core-ontology/issues/485 — provisional MatSus implementation proceeds while PMDco decides the anchors</t>
        </is>
      </c>
      <c r="P25" s="33" t="inlineStr">
        <is>
          <t>PROVISIONAL_DRAFT_READY</t>
        </is>
      </c>
      <c r="Q25" s="33" t="inlineStr">
        <is>
          <t>Implement now in MatSus using provisional WasteRole/WasteMaterial anchors. If PMDco later accepts equivalent anchors, migrate/reconcile mappings, parents and restrictions; do not delete the MatSus specializations.</t>
        </is>
      </c>
      <c r="R25" s="33" t="inlineStr">
        <is>
          <t>Full class-level definition, parent, confidence and later-axiom notes are in Class Review.</t>
        </is>
      </c>
    </row>
    <row r="26" ht="56" customHeight="1">
      <c r="A26" s="33" t="inlineStr">
        <is>
          <t>1 - LOCAL IMPLEMENTATION</t>
        </is>
      </c>
      <c r="B26" s="33" t="inlineStr">
        <is>
          <t>MKB-000236</t>
        </is>
      </c>
      <c r="C26" s="33" t="inlineStr">
        <is>
          <t>Waste package</t>
        </is>
      </c>
      <c r="D26" s="33" t="inlineStr">
        <is>
          <t>waste analysis + structural waste analysis</t>
        </is>
      </c>
      <c r="E26" s="33" t="inlineStr">
        <is>
          <t>IMPLEMENT_LOCAL_MATSUS_PATTERN</t>
        </is>
      </c>
      <c r="F26" s="33" t="inlineStr">
        <is>
          <t>MatSus</t>
        </is>
      </c>
      <c r="G26" s="33" t="inlineStr">
        <is>
          <t>https://w3id.org/pmd/matsus/StructuralWasteAnalysis</t>
        </is>
      </c>
      <c r="H26" s="33" t="inlineStr">
        <is>
          <t>OBI assay (OBI_0000070)</t>
        </is>
      </c>
      <c r="I26" s="33" t="inlineStr">
        <is>
          <t>IMPLEMENTED_IN_MATSUS_EDIT</t>
        </is>
      </c>
      <c r="J26" s="33" t="inlineStr">
        <is>
          <t>https://w3id.org/pmd/matsus/WasteAnalysis | https://w3id.org/pmd/matsus/StructuralWasteAnalysis</t>
        </is>
      </c>
      <c r="K26" s="33" t="inlineStr">
        <is>
          <t>WasteAnalysis: ACCEPT — analysis as an assay producing information is the right pattern. | StructuralWasteAnalysis: REVISE BEFORE MERGE — parent is correct, but the draft definition mixes structural/compositional analysis with recurring-source analysis; narrow the definition or rename the class.</t>
        </is>
      </c>
      <c r="L26" s="33" t="inlineStr">
        <is>
          <t>WasteAnalysis SubClassOf OBI assay. | StructuralWasteAnalysis SubClassOf WasteAnalysis.</t>
        </is>
      </c>
      <c r="M26" s="33" t="inlineStr">
        <is>
          <t>NO - DRAFT ONLY</t>
        </is>
      </c>
      <c r="N26" s="33" t="inlineStr">
        <is>
          <t>FULL BUILD TODO</t>
        </is>
      </c>
      <c r="O26" s="33" t="inlineStr">
        <is>
          <t>https://github.com/materialdigital/core-ontology/issues/485 — provisional MatSus implementation proceeds while PMDco decides the anchors</t>
        </is>
      </c>
      <c r="P26" s="33" t="inlineStr">
        <is>
          <t>PROVISIONAL_DRAFT_READY</t>
        </is>
      </c>
      <c r="Q26" s="33" t="inlineStr">
        <is>
          <t>Implement now in MatSus using provisional WasteRole/WasteMaterial anchors. If PMDco later accepts equivalent anchors, migrate/reconcile mappings, parents and restrictions; do not delete the MatSus specializations.</t>
        </is>
      </c>
      <c r="R26" s="33" t="inlineStr">
        <is>
          <t>Full class-level definition, parent, confidence and later-axiom notes are in Class Review.</t>
        </is>
      </c>
    </row>
    <row r="27" ht="56" customHeight="1">
      <c r="A27" s="33" t="inlineStr">
        <is>
          <t>1 - LOCAL IMPLEMENTATION</t>
        </is>
      </c>
      <c r="B27" s="33" t="inlineStr">
        <is>
          <t>MKB-000249</t>
        </is>
      </c>
      <c r="C27" s="33" t="inlineStr">
        <is>
          <t>Waste package</t>
        </is>
      </c>
      <c r="D27" s="33" t="inlineStr">
        <is>
          <t>textile waste</t>
        </is>
      </c>
      <c r="E27" s="33" t="inlineStr">
        <is>
          <t>IMPLEMENT_LOCAL_MATSUS_TERM</t>
        </is>
      </c>
      <c r="F27" s="33" t="inlineStr">
        <is>
          <t>MatSus</t>
        </is>
      </c>
      <c r="G27" s="33" t="inlineStr">
        <is>
          <t>https://w3id.org/pmd/matsus/TextileWaste</t>
        </is>
      </c>
      <c r="H27" s="33" t="inlineStr">
        <is>
          <t>MatSus waste material (provisional PMDco handoff anchor)</t>
        </is>
      </c>
      <c r="I27" s="33" t="inlineStr">
        <is>
          <t>IMPLEMENTED_IN_MATSUS_EDIT</t>
        </is>
      </c>
      <c r="J27" s="33" t="inlineStr">
        <is>
          <t>https://w3id.org/pmd/matsus/TextileWaste</t>
        </is>
      </c>
      <c r="K27" s="33" t="inlineStr">
        <is>
          <t>TextileWaste: ACCEPT PROVISIONALLY — usable broad subtype; keep source-specific textile composition/product criteria outside the core definition for now.</t>
        </is>
      </c>
      <c r="L27" s="33" t="inlineStr">
        <is>
          <t>TextileWaste SubClassOf WasteMaterial.</t>
        </is>
      </c>
      <c r="M27" s="33" t="inlineStr">
        <is>
          <t>NO - DRAFT ONLY</t>
        </is>
      </c>
      <c r="N27" s="33" t="inlineStr">
        <is>
          <t>FULL BUILD TODO</t>
        </is>
      </c>
      <c r="O27" s="33" t="inlineStr">
        <is>
          <t>https://github.com/materialdigital/core-ontology/issues/485 — provisional MatSus implementation proceeds while PMDco decides the anchors</t>
        </is>
      </c>
      <c r="P27" s="33" t="inlineStr">
        <is>
          <t>PROVISIONAL_DRAFT_READY</t>
        </is>
      </c>
      <c r="Q27" s="33" t="inlineStr">
        <is>
          <t>Implement now in MatSus using provisional WasteRole/WasteMaterial anchors. If PMDco later accepts equivalent anchors, migrate/reconcile mappings, parents and restrictions; do not delete the MatSus specializations.</t>
        </is>
      </c>
      <c r="R27" s="33" t="inlineStr">
        <is>
          <t>Full class-level definition, parent, confidence and later-axiom notes are in Class Review.</t>
        </is>
      </c>
    </row>
    <row r="28" ht="56" customHeight="1">
      <c r="A28" s="33" t="inlineStr">
        <is>
          <t>1 - LOCAL IMPLEMENTATION</t>
        </is>
      </c>
      <c r="B28" s="33" t="inlineStr">
        <is>
          <t>MKB-000263</t>
        </is>
      </c>
      <c r="C28" s="33" t="inlineStr">
        <is>
          <t>Waste package</t>
        </is>
      </c>
      <c r="D28" s="33" t="inlineStr">
        <is>
          <t>waste generation process</t>
        </is>
      </c>
      <c r="E28" s="33" t="inlineStr">
        <is>
          <t>IMPLEMENT_LOCAL_MATSUS_TERM</t>
        </is>
      </c>
      <c r="F28" s="33" t="inlineStr">
        <is>
          <t>MatSus</t>
        </is>
      </c>
      <c r="G28" s="33" t="inlineStr">
        <is>
          <t>https://w3id.org/pmd/matsus/WasteGenerationProcess</t>
        </is>
      </c>
      <c r="H28" s="33" t="inlineStr">
        <is>
          <t>BFO process (BFO_0000015)</t>
        </is>
      </c>
      <c r="I28" s="33" t="inlineStr">
        <is>
          <t>IMPLEMENTED_IN_MATSUS_EDIT</t>
        </is>
      </c>
      <c r="J28" s="33" t="inlineStr">
        <is>
          <t>https://w3id.org/pmd/matsus/WasteGenerationProcess</t>
        </is>
      </c>
      <c r="K28" s="33" t="inlineStr">
        <is>
          <t>WasteGenerationProcess: ACCEPT — the general process parent avoids incorrectly assuming intentional production.</t>
        </is>
      </c>
      <c r="L28" s="33" t="inlineStr">
        <is>
          <t>WasteGenerationProcess SubClassOf BFO process; has output some WasteMaterial (RO_0002234).</t>
        </is>
      </c>
      <c r="M28" s="33" t="inlineStr">
        <is>
          <t>NO - DRAFT ONLY</t>
        </is>
      </c>
      <c r="N28" s="33" t="inlineStr">
        <is>
          <t>FULL BUILD TODO</t>
        </is>
      </c>
      <c r="O28" s="33" t="inlineStr">
        <is>
          <t>https://github.com/materialdigital/core-ontology/issues/485 — provisional MatSus implementation proceeds while PMDco decides the anchors</t>
        </is>
      </c>
      <c r="P28" s="33" t="inlineStr">
        <is>
          <t>PROVISIONAL_DRAFT_READY</t>
        </is>
      </c>
      <c r="Q28" s="33" t="inlineStr">
        <is>
          <t>Implement now in MatSus using provisional WasteRole/WasteMaterial anchors. If PMDco later accepts equivalent anchors, migrate/reconcile mappings, parents and restrictions; do not delete the MatSus specializations.</t>
        </is>
      </c>
      <c r="R28" s="33" t="inlineStr">
        <is>
          <t>Full class-level definition, parent, confidence and later-axiom notes are in Class Review.</t>
        </is>
      </c>
    </row>
    <row r="29" ht="56" customHeight="1">
      <c r="A29" s="33" t="inlineStr">
        <is>
          <t>1 - LOCAL IMPLEMENTATION</t>
        </is>
      </c>
      <c r="B29" s="33" t="inlineStr">
        <is>
          <t>MKB-000264</t>
        </is>
      </c>
      <c r="C29" s="33" t="inlineStr">
        <is>
          <t>Waste package</t>
        </is>
      </c>
      <c r="D29" s="33" t="inlineStr">
        <is>
          <t>waste prevention process + waste prevention measure specification</t>
        </is>
      </c>
      <c r="E29" s="33" t="inlineStr">
        <is>
          <t>IMPLEMENT_LOCAL_MATSUS_PATTERN</t>
        </is>
      </c>
      <c r="F29" s="33" t="inlineStr">
        <is>
          <t>MatSus</t>
        </is>
      </c>
      <c r="G29" s="33" t="inlineStr">
        <is>
          <t>https://w3id.org/pmd/matsus/WastePreventionProcess | https://w3id.org/pmd/matsus/WastePreventionMeasureSpecification</t>
        </is>
      </c>
      <c r="H29" s="33" t="inlineStr">
        <is>
          <t>COB planned process + IAO plan specification</t>
        </is>
      </c>
      <c r="I29" s="33" t="inlineStr">
        <is>
          <t>IMPLEMENTED_IN_MATSUS_EDIT</t>
        </is>
      </c>
      <c r="J29" s="33" t="inlineStr">
        <is>
          <t>https://w3id.org/pmd/matsus/WastePreventionProcess | https://w3id.org/pmd/matsus/WastePreventionMeasureSpecification</t>
        </is>
      </c>
      <c r="K29" s="33" t="inlineStr">
        <is>
          <t>WastePreventionProcess: ACCEPT — the process/specification split is correct. | WastePreventionMeasureSpecification: ACCEPT — it is an information artifact prescribing a prevention process, not the process itself.</t>
        </is>
      </c>
      <c r="L29" s="33" t="inlineStr">
        <is>
          <t>WastePreventionProcess SubClassOf COB planned process. | WastePreventionMeasureSpecification SubClassOf IAO plan specification.</t>
        </is>
      </c>
      <c r="M29" s="33" t="inlineStr">
        <is>
          <t>NO - DRAFT ONLY</t>
        </is>
      </c>
      <c r="N29" s="33" t="inlineStr">
        <is>
          <t>FULL BUILD TODO</t>
        </is>
      </c>
      <c r="O29" s="33" t="inlineStr">
        <is>
          <t>https://github.com/materialdigital/core-ontology/issues/485 — provisional MatSus implementation proceeds while PMDco decides the anchors</t>
        </is>
      </c>
      <c r="P29" s="33" t="inlineStr">
        <is>
          <t>PROVISIONAL_DRAFT_READY</t>
        </is>
      </c>
      <c r="Q29" s="33" t="inlineStr">
        <is>
          <t>Implement now in MatSus using provisional WasteRole/WasteMaterial anchors. If PMDco later accepts equivalent anchors, migrate/reconcile mappings, parents and restrictions; do not delete the MatSus specializations.</t>
        </is>
      </c>
      <c r="R29" s="33" t="inlineStr">
        <is>
          <t>Full class-level definition, parent, confidence and later-axiom notes are in Class Review.</t>
        </is>
      </c>
    </row>
    <row r="30" ht="56" customHeight="1">
      <c r="A30" s="33" t="inlineStr">
        <is>
          <t>1 - LOCAL IMPLEMENTATION</t>
        </is>
      </c>
      <c r="B30" s="33" t="inlineStr">
        <is>
          <t>MKB-000266</t>
        </is>
      </c>
      <c r="C30" s="33" t="inlineStr">
        <is>
          <t>Waste package</t>
        </is>
      </c>
      <c r="D30" s="33" t="inlineStr">
        <is>
          <t>zero-waste objective specification + zero-waste strategy specification</t>
        </is>
      </c>
      <c r="E30" s="33" t="inlineStr">
        <is>
          <t>IMPLEMENT_LOCAL_MATSUS_PATTERN</t>
        </is>
      </c>
      <c r="F30" s="33" t="inlineStr">
        <is>
          <t>MatSus</t>
        </is>
      </c>
      <c r="G30" s="33" t="inlineStr">
        <is>
          <t>https://w3id.org/pmd/matsus/ZeroWasteObjectiveSpecification | https://w3id.org/pmd/matsus/ZeroWasteStrategySpecification</t>
        </is>
      </c>
      <c r="H30" s="33" t="inlineStr">
        <is>
          <t>IAO objective specification + IAO plan specification</t>
        </is>
      </c>
      <c r="I30" s="33" t="inlineStr">
        <is>
          <t>IMPLEMENTED_IN_MATSUS_EDIT</t>
        </is>
      </c>
      <c r="J30" s="33" t="inlineStr">
        <is>
          <t>https://w3id.org/pmd/matsus/ZeroWasteObjectiveSpecification | https://w3id.org/pmd/matsus/ZeroWasteStrategySpecification</t>
        </is>
      </c>
      <c r="K30" s="33" t="inlineStr">
        <is>
          <t>ZeroWasteObjectiveSpecification: ACCEPT — zero waste is correctly represented as a desired endpoint. | ZeroWasteStrategySpecification: ACCEPT — a strategy is correctly separated from the objective.</t>
        </is>
      </c>
      <c r="L30" s="33" t="inlineStr">
        <is>
          <t>ZeroWasteObjectiveSpecification SubClassOf IAO objective specification. | ZeroWasteStrategySpecification SubClassOf IAO plan specification.</t>
        </is>
      </c>
      <c r="M30" s="33" t="inlineStr">
        <is>
          <t>NO - DRAFT ONLY</t>
        </is>
      </c>
      <c r="N30" s="33" t="inlineStr">
        <is>
          <t>FULL BUILD TODO</t>
        </is>
      </c>
      <c r="O30" s="33" t="inlineStr">
        <is>
          <t>https://github.com/materialdigital/core-ontology/issues/485 — provisional MatSus implementation proceeds while PMDco decides the anchors</t>
        </is>
      </c>
      <c r="P30" s="33" t="inlineStr">
        <is>
          <t>PROVISIONAL_DRAFT_READY</t>
        </is>
      </c>
      <c r="Q30" s="33" t="inlineStr">
        <is>
          <t>Implement now in MatSus using provisional WasteRole/WasteMaterial anchors. If PMDco later accepts equivalent anchors, migrate/reconcile mappings, parents and restrictions; do not delete the MatSus specializations.</t>
        </is>
      </c>
      <c r="R30" s="33" t="inlineStr">
        <is>
          <t>Full class-level definition, parent, confidence and later-axiom notes are in Class Review.</t>
        </is>
      </c>
    </row>
    <row r="31" ht="56" customHeight="1">
      <c r="A31" s="33" t="inlineStr">
        <is>
          <t>2 - EXTERNAL HANDOFF</t>
        </is>
      </c>
      <c r="B31" s="33" t="inlineStr">
        <is>
          <t>MKB-000168</t>
        </is>
      </c>
      <c r="C31" s="33" t="inlineStr">
        <is>
          <t>Information/specification</t>
        </is>
      </c>
      <c r="D31" s="33" t="inlineStr">
        <is>
          <t>product specification</t>
        </is>
      </c>
      <c r="E31" s="33" t="inlineStr">
        <is>
          <t>DEFER_TO_PMDCO</t>
        </is>
      </c>
      <c r="F31" s="33" t="inlineStr">
        <is>
          <t>PMDco</t>
        </is>
      </c>
      <c r="G31" s="33" t="n"/>
      <c r="H31" s="33" t="inlineStr">
        <is>
          <t>Candidate sibling of PMD_0060006 device specification and PMD_0060007 material specification under IAO directive information entity</t>
        </is>
      </c>
      <c r="I31" s="33" t="inlineStr">
        <is>
          <t>EXTERNAL_HANDOFF</t>
        </is>
      </c>
      <c r="J31" s="33" t="inlineStr">
        <is>
          <t>N/A — PMDco IRI pending</t>
        </is>
      </c>
      <c r="K31" s="33" t="inlineStr">
        <is>
          <t>EXTERNAL PROPOSAL ACCEPTED — definition and proposed parent are coherent; await PMDco issue #487. Do not mint a MatSus duplicate.</t>
        </is>
      </c>
      <c r="L31" s="33" t="inlineStr">
        <is>
          <t>No MatSus axiom. Proposed PMDco subclass of specification document.</t>
        </is>
      </c>
      <c r="M31" s="33" t="inlineStr">
        <is>
          <t>N/A</t>
        </is>
      </c>
      <c r="N31" s="33" t="inlineStr">
        <is>
          <t>N/A</t>
        </is>
      </c>
      <c r="O31" s="33" t="inlineStr">
        <is>
          <t>https://github.com/materialdigital/core-ontology/issues/487</t>
        </is>
      </c>
      <c r="P31" s="33" t="inlineStr">
        <is>
          <t>ISSUE_SUBMITTED</t>
        </is>
      </c>
      <c r="Q31" s="33" t="inlineStr">
        <is>
          <t>PMDco issue #487 submitted for product specification. Await the PMDco decision; do not mint a duplicate MatSus class.</t>
        </is>
      </c>
      <c r="R31" s="33" t="inlineStr">
        <is>
          <t>Full class-level definition, parent, confidence and later-axiom notes are in Class Review.</t>
        </is>
      </c>
    </row>
    <row r="32" ht="42" customHeight="1">
      <c r="A32" s="33" t="inlineStr">
        <is>
          <t>2 - EXTERNAL HANDOFF</t>
        </is>
      </c>
      <c r="B32" s="33" t="inlineStr">
        <is>
          <t>MKB-000217</t>
        </is>
      </c>
      <c r="C32" s="33" t="inlineStr">
        <is>
          <t>Process</t>
        </is>
      </c>
      <c r="D32" s="33" t="inlineStr">
        <is>
          <t>reverse logistics process</t>
        </is>
      </c>
      <c r="E32" s="33" t="inlineStr">
        <is>
          <t>DEFER_TO_LOG</t>
        </is>
      </c>
      <c r="F32" s="33" t="inlineStr">
        <is>
          <t>LOG</t>
        </is>
      </c>
      <c r="G32" s="33" t="n"/>
      <c r="H32" s="33" t="inlineStr">
        <is>
          <t>LOG logistics process (LOG_1000120)</t>
        </is>
      </c>
      <c r="I32" s="33" t="inlineStr">
        <is>
          <t>EXTERNAL_HANDOFF</t>
        </is>
      </c>
      <c r="J32" s="33" t="inlineStr">
        <is>
          <t>N/A — LOG IRI pending</t>
        </is>
      </c>
      <c r="K32" s="33" t="inlineStr">
        <is>
          <t>EXTERNAL PARENT ACCEPTED; DEFINITION DEFERRED — the corrected concept is reverse logistics process, but the final wording belongs in the LOG issue.</t>
        </is>
      </c>
      <c r="L32" s="33" t="inlineStr">
        <is>
          <t>No MatSus axiom and no local duplicate. Proposed LOG subclass of logistics process.</t>
        </is>
      </c>
      <c r="M32" s="33" t="inlineStr">
        <is>
          <t>N/A</t>
        </is>
      </c>
      <c r="N32" s="33" t="inlineStr">
        <is>
          <t>N/A</t>
        </is>
      </c>
      <c r="O32" s="33" t="inlineStr">
        <is>
          <t>LOG issue pending</t>
        </is>
      </c>
      <c r="P32" s="33" t="inlineStr">
        <is>
          <t>LOG_ISSUE_PENDING</t>
        </is>
      </c>
      <c r="Q32" s="33" t="inlineStr">
        <is>
          <t>Open the LOG reverse-logistics issue when the contribution route is known; include take-back/return-flow examples and cross-link MatSus. This does not block MatSus IR2.</t>
        </is>
      </c>
      <c r="R32" s="33" t="inlineStr">
        <is>
          <t>Full class-level definition, parent, confidence and later-axiom notes are in Class Review.</t>
        </is>
      </c>
    </row>
    <row r="33" ht="42" customHeight="1">
      <c r="A33" s="33" t="inlineStr">
        <is>
          <t>3 - DEFERRED</t>
        </is>
      </c>
      <c r="B33" s="33" t="inlineStr">
        <is>
          <t>MKB-000307</t>
        </is>
      </c>
      <c r="C33" s="33" t="inlineStr">
        <is>
          <t>Information/specification</t>
        </is>
      </c>
      <c r="D33" s="33" t="inlineStr">
        <is>
          <t>end-user guidance about separate collection</t>
        </is>
      </c>
      <c r="E33" s="33" t="inlineStr">
        <is>
          <t>DEFER_MODELLING_USE_CASE</t>
        </is>
      </c>
      <c r="F33" s="33" t="inlineStr">
        <is>
          <t>MatSus modelling pattern</t>
        </is>
      </c>
      <c r="G33" s="33" t="n"/>
      <c r="H33" s="33" t="inlineStr">
        <is>
          <t>Guidance ICE + end-user role + waste collection/separation process</t>
        </is>
      </c>
      <c r="I33" s="33" t="inlineStr">
        <is>
          <t>DEFERRED</t>
        </is>
      </c>
      <c r="J33" s="33" t="inlineStr">
        <is>
          <t>N/A — no MatSus class approved</t>
        </is>
      </c>
      <c r="K33" s="33" t="inlineStr">
        <is>
          <t>N/A — no local class approved.</t>
        </is>
      </c>
      <c r="L33" s="33" t="inlineStr">
        <is>
          <t>No MatSus axiom now.</t>
        </is>
      </c>
      <c r="M33" s="33" t="inlineStr">
        <is>
          <t>N/A</t>
        </is>
      </c>
      <c r="N33" s="33" t="inlineStr">
        <is>
          <t>N/A</t>
        </is>
      </c>
      <c r="O33" s="33" t="n"/>
      <c r="P33" s="33" t="inlineStr">
        <is>
          <t>DEFERRED</t>
        </is>
      </c>
      <c r="Q33" s="33" t="inlineStr">
        <is>
          <t>CQ: What guidance is supplied to which end-user role, about participation in which collection/separation process, for which waste battery? Model one instance before adding a class.</t>
        </is>
      </c>
      <c r="R33" s="33" t="inlineStr">
        <is>
          <t>Full class-level definition, parent, confidence and later-axiom notes are in Class Review.</t>
        </is>
      </c>
    </row>
    <row r="34" ht="42" customHeight="1">
      <c r="A34" s="33" t="inlineStr">
        <is>
          <t>3 - DEFERRED</t>
        </is>
      </c>
      <c r="B34" s="33" t="inlineStr">
        <is>
          <t>ADD-BAT-002</t>
        </is>
      </c>
      <c r="C34" s="33" t="inlineStr">
        <is>
          <t>Quality/data/pattern</t>
        </is>
      </c>
      <c r="D34" s="33" t="inlineStr">
        <is>
          <t>degradation pattern (no new generic class)</t>
        </is>
      </c>
      <c r="E34" s="33" t="inlineStr">
        <is>
          <t>DEFER_MODELLING_USE_CASE</t>
        </is>
      </c>
      <c r="F34" s="33" t="inlineStr">
        <is>
          <t>MatSus modelling pattern</t>
        </is>
      </c>
      <c r="G34" s="33" t="inlineStr">
        <is>
          <t>PMDco quality/process branches</t>
        </is>
      </c>
      <c r="H34" s="33" t="inlineStr">
        <is>
          <t>Existing PMDco quality + process + datum pattern</t>
        </is>
      </c>
      <c r="I34" s="33" t="inlineStr">
        <is>
          <t>DEFERRED</t>
        </is>
      </c>
      <c r="J34" s="33" t="inlineStr">
        <is>
          <t>N/A — no MatSus class approved</t>
        </is>
      </c>
      <c r="K34" s="33" t="inlineStr">
        <is>
          <t>N/A — no local class approved.</t>
        </is>
      </c>
      <c r="L34" s="33" t="inlineStr">
        <is>
          <t>No MatSus axiom now.</t>
        </is>
      </c>
      <c r="M34" s="33" t="inlineStr">
        <is>
          <t>N/A</t>
        </is>
      </c>
      <c r="N34" s="33" t="inlineStr">
        <is>
          <t>N/A</t>
        </is>
      </c>
      <c r="O34" s="33" t="n"/>
      <c r="P34" s="33" t="inlineStr">
        <is>
          <t>DEFERRED</t>
        </is>
      </c>
      <c r="Q34" s="33" t="inlineStr">
        <is>
          <t>CQ: For bearer B and quality Q, what changed between t1 and t2, by how much, and according to which method? Add a class only when one cross-domain query requires it.</t>
        </is>
      </c>
      <c r="R34" s="33" t="inlineStr">
        <is>
          <t>Full class-level definition, parent, confidence and later-axiom notes are in Class Review.</t>
        </is>
      </c>
    </row>
    <row r="35" ht="42" customHeight="1">
      <c r="A35" s="33" t="inlineStr">
        <is>
          <t>3 - DEFERRED</t>
        </is>
      </c>
      <c r="B35" s="33" t="inlineStr">
        <is>
          <t>ADD-BAT-003</t>
        </is>
      </c>
      <c r="C35" s="33" t="inlineStr">
        <is>
          <t>Quality/data/pattern</t>
        </is>
      </c>
      <c r="D35" s="33" t="inlineStr">
        <is>
          <t>remaining-capability pattern (no new generic class)</t>
        </is>
      </c>
      <c r="E35" s="33" t="inlineStr">
        <is>
          <t>DEFER_MODELLING_USE_CASE</t>
        </is>
      </c>
      <c r="F35" s="33" t="inlineStr">
        <is>
          <t>MatSus modelling pattern</t>
        </is>
      </c>
      <c r="G35" s="33" t="inlineStr">
        <is>
          <t>PMDco quality/value-specification branches</t>
        </is>
      </c>
      <c r="H35" s="33" t="inlineStr">
        <is>
          <t>Disposition/quality + value/unit/time/provenance</t>
        </is>
      </c>
      <c r="I35" s="33" t="inlineStr">
        <is>
          <t>DEFERRED</t>
        </is>
      </c>
      <c r="J35" s="33" t="inlineStr">
        <is>
          <t>N/A — no MatSus class approved</t>
        </is>
      </c>
      <c r="K35" s="33" t="inlineStr">
        <is>
          <t>N/A — no local class approved.</t>
        </is>
      </c>
      <c r="L35" s="33" t="inlineStr">
        <is>
          <t>No MatSus axiom now.</t>
        </is>
      </c>
      <c r="M35" s="33" t="inlineStr">
        <is>
          <t>N/A</t>
        </is>
      </c>
      <c r="N35" s="33" t="inlineStr">
        <is>
          <t>N/A</t>
        </is>
      </c>
      <c r="O35" s="33" t="n"/>
      <c r="P35" s="33" t="inlineStr">
        <is>
          <t>DEFERRED</t>
        </is>
      </c>
      <c r="Q35" s="33" t="inlineStr">
        <is>
          <t>CQ: Which capability remains in bearer B at time t, what value and unit quantify it, and which assay produced the value? Use a battery KPI example before minting.</t>
        </is>
      </c>
      <c r="R35" s="33" t="inlineStr">
        <is>
          <t>Full class-level definition, parent, confidence and later-axiom notes are in Class Review.</t>
        </is>
      </c>
    </row>
    <row r="36" ht="42" customHeight="1">
      <c r="A36" s="33" t="inlineStr">
        <is>
          <t>3 - DEFERRED</t>
        </is>
      </c>
      <c r="B36" s="33" t="inlineStr">
        <is>
          <t>MKB-000308</t>
        </is>
      </c>
      <c r="C36" s="33" t="inlineStr">
        <is>
          <t>Waste package</t>
        </is>
      </c>
      <c r="D36" s="33" t="inlineStr">
        <is>
          <t>end-user guidance about waste prevention</t>
        </is>
      </c>
      <c r="E36" s="33" t="inlineStr">
        <is>
          <t>DEFER_MODELLING_USE_CASE</t>
        </is>
      </c>
      <c r="F36" s="33" t="inlineStr">
        <is>
          <t>MatSus modelling pattern</t>
        </is>
      </c>
      <c r="G36" s="33" t="n"/>
      <c r="H36" s="33" t="inlineStr">
        <is>
          <t>Guidance ICE + end-user role + waste prevention process</t>
        </is>
      </c>
      <c r="I36" s="33" t="inlineStr">
        <is>
          <t>DEFERRED</t>
        </is>
      </c>
      <c r="J36" s="33" t="inlineStr">
        <is>
          <t>N/A — no MatSus class approved</t>
        </is>
      </c>
      <c r="K36" s="33" t="inlineStr">
        <is>
          <t>N/A — no local class approved.</t>
        </is>
      </c>
      <c r="L36" s="33" t="inlineStr">
        <is>
          <t>No MatSus axiom now.</t>
        </is>
      </c>
      <c r="M36" s="33" t="inlineStr">
        <is>
          <t>N/A</t>
        </is>
      </c>
      <c r="N36" s="33" t="inlineStr">
        <is>
          <t>N/A</t>
        </is>
      </c>
      <c r="O36" s="33" t="n"/>
      <c r="P36" s="33" t="inlineStr">
        <is>
          <t>DEFERRED</t>
        </is>
      </c>
      <c r="Q36" s="33" t="inlineStr">
        <is>
          <t>CQ: What guidance is supplied to which end-user role, about participation in which waste-prevention process, for which product? Model one instance before adding a class.</t>
        </is>
      </c>
      <c r="R36" s="33" t="inlineStr">
        <is>
          <t>Full class-level definition, parent, confidence and later-axiom notes are in Class Review.</t>
        </is>
      </c>
    </row>
    <row r="37" ht="58" customHeight="1">
      <c r="A37" s="33" t="inlineStr">
        <is>
          <t>1 - LOCAL IMPLEMENTATION</t>
        </is>
      </c>
      <c r="B37" s="33" t="inlineStr">
        <is>
          <t>POST-MKB1-MAT-001</t>
        </is>
      </c>
      <c r="C37" s="33" t="inlineStr">
        <is>
          <t>Material/role</t>
        </is>
      </c>
      <c r="D37" s="33" t="inlineStr">
        <is>
          <t>recovered material</t>
        </is>
      </c>
      <c r="E37" s="33" t="inlineStr">
        <is>
          <t>IMPLEMENT_LOCAL_MATSUS_TERM</t>
        </is>
      </c>
      <c r="F37" s="33" t="inlineStr">
        <is>
          <t>MatSus</t>
        </is>
      </c>
      <c r="G37" s="33" t="inlineStr">
        <is>
          <t>https://w3id.org/pmd/matsus/RecoveredMaterial</t>
        </is>
      </c>
      <c r="H37" s="33" t="inlineStr">
        <is>
          <t>PMDco material (PMD_0000000)</t>
        </is>
      </c>
      <c r="I37" s="33" t="inlineStr">
        <is>
          <t>POST_GATE_ACCEPTED</t>
        </is>
      </c>
      <c r="J37" s="33" t="inlineStr">
        <is>
          <t>https://w3id.org/pmd/matsus/MATSUS_0000001</t>
        </is>
      </c>
      <c r="K37" s="33" t="inlineStr">
        <is>
          <t>ACCEPT — material-recovery provenance is represented separately from the contextual waste role; recovered material is not a subclass of waste material.</t>
        </is>
      </c>
      <c r="L37" s="33" t="inlineStr">
        <is>
          <t>https://w3id.org/pmd/matsus/MATSUS_0000001 SubClassOf https://w3id.org/pmd/co/PMD_0000000.</t>
        </is>
      </c>
      <c r="M37" s="33" t="inlineStr">
        <is>
          <t>YES — PRESENT IN src/ontology/matsus-edit.owl</t>
        </is>
      </c>
      <c r="N37" s="33" t="inlineStr">
        <is>
          <t>PASS — ROBOT 1.9.2 syntax parse/convert; merged OWL 2 DL profile; ELK consistency; 5 repository SPARQL checks (0 violations). Quality report: 0 errors, 25 warnings. dicer-cli unavailable; IDs directly checked against 7-digit 0000000–0009999 policy.</t>
        </is>
      </c>
      <c r="O37" s="33" t="inlineStr">
        <is>
          <t>No unresolved parent/import dependency. Later: link the material to its recovery process/history.</t>
        </is>
      </c>
      <c r="P37" s="33" t="inlineStr">
        <is>
          <t>IMPLEMENTED_AND_VALIDATED_WITH_WARNINGS</t>
        </is>
      </c>
      <c r="Q37" s="33" t="inlineStr">
        <is>
          <t>Retain the recovery provenance/history relation for later axiomatization; add no disjointness or complement axiom.</t>
        </is>
      </c>
      <c r="R37" s="33" t="inlineStr">
        <is>
          <t>Final numeric IRI allocated under repository policy. PMDco material parent resolved in the current import closure.</t>
        </is>
      </c>
    </row>
    <row r="38" ht="58" customHeight="1">
      <c r="A38" s="33" t="inlineStr">
        <is>
          <t>1 - LOCAL IMPLEMENTATION</t>
        </is>
      </c>
      <c r="B38" s="33" t="inlineStr">
        <is>
          <t>MKB-000175</t>
        </is>
      </c>
      <c r="C38" s="33" t="inlineStr">
        <is>
          <t>Material/role</t>
        </is>
      </c>
      <c r="D38" s="33" t="inlineStr">
        <is>
          <t>recycled material</t>
        </is>
      </c>
      <c r="E38" s="33" t="inlineStr">
        <is>
          <t>IMPLEMENT_LOCAL_MATSUS_TERM</t>
        </is>
      </c>
      <c r="F38" s="33" t="inlineStr">
        <is>
          <t>MatSus</t>
        </is>
      </c>
      <c r="G38" s="33" t="inlineStr">
        <is>
          <t>https://w3id.org/pmd/matsus/RecycledMaterial</t>
        </is>
      </c>
      <c r="H38" s="33" t="inlineStr">
        <is>
          <t>MatSus recovered material</t>
        </is>
      </c>
      <c r="I38" s="33" t="inlineStr">
        <is>
          <t>POST_GATE_ACCEPTED</t>
        </is>
      </c>
      <c r="J38" s="33" t="inlineStr">
        <is>
          <t>https://w3id.org/pmd/matsus/MATSUS_0000002</t>
        </is>
      </c>
      <c r="K38" s="33" t="inlineStr">
        <is>
          <t>ACCEPT — process-history specialization of recovered material; it may overlap with secondary material.</t>
        </is>
      </c>
      <c r="L38" s="33" t="inlineStr">
        <is>
          <t>https://w3id.org/pmd/matsus/MATSUS_0000002 SubClassOf https://w3id.org/pmd/matsus/MATSUS_0000001.</t>
        </is>
      </c>
      <c r="M38" s="33" t="inlineStr">
        <is>
          <t>YES — PRESENT IN src/ontology/matsus-edit.owl</t>
        </is>
      </c>
      <c r="N38" s="33" t="inlineStr">
        <is>
          <t>PASS — ROBOT 1.9.2 syntax parse/convert; merged OWL 2 DL profile; ELK consistency; 5 repository SPARQL checks (0 violations). Quality report: 0 errors, 25 warnings. dicer-cli unavailable; IDs directly checked against 7-digit 0000000–0009999 policy.</t>
        </is>
      </c>
      <c r="O38" s="33" t="inlineStr">
        <is>
          <t>Recovered material dependency resolved as MATSUS_0000001. Later: link to the recycling process/history.</t>
        </is>
      </c>
      <c r="P38" s="33" t="inlineStr">
        <is>
          <t>IMPLEMENTED_AND_VALIDATED_WITH_WARNINGS</t>
        </is>
      </c>
      <c r="Q38" s="33" t="inlineStr">
        <is>
          <t>Retain the process/history relation for later axiomatization; do not assert disjointness from secondary material.</t>
        </is>
      </c>
      <c r="R38" s="33" t="inlineStr">
        <is>
          <t>Final numeric IRI allocated under repository policy. Recycled material and secondary material remain overlapping sibling categories.</t>
        </is>
      </c>
    </row>
    <row r="39" ht="58" customHeight="1">
      <c r="A39" s="33" t="inlineStr">
        <is>
          <t>1 - LOCAL IMPLEMENTATION</t>
        </is>
      </c>
      <c r="B39" s="33" t="inlineStr">
        <is>
          <t>MKB-000223</t>
        </is>
      </c>
      <c r="C39" s="33" t="inlineStr">
        <is>
          <t>Material/role</t>
        </is>
      </c>
      <c r="D39" s="33" t="inlineStr">
        <is>
          <t>secondary material</t>
        </is>
      </c>
      <c r="E39" s="33" t="inlineStr">
        <is>
          <t>IMPLEMENT_LOCAL_MATSUS_TERM</t>
        </is>
      </c>
      <c r="F39" s="33" t="inlineStr">
        <is>
          <t>MatSus</t>
        </is>
      </c>
      <c r="G39" s="33" t="inlineStr">
        <is>
          <t>https://w3id.org/pmd/matsus/SecondaryMaterial</t>
        </is>
      </c>
      <c r="H39" s="33" t="inlineStr">
        <is>
          <t>MatSus recovered material</t>
        </is>
      </c>
      <c r="I39" s="33" t="inlineStr">
        <is>
          <t>POST_GATE_ACCEPTED</t>
        </is>
      </c>
      <c r="J39" s="33" t="inlineStr">
        <is>
          <t>https://w3id.org/pmd/matsus/MATSUS_0000003</t>
        </is>
      </c>
      <c r="K39" s="33" t="inlineStr">
        <is>
          <t>ACCEPT — use/status specialization; sibling of recycled material and allowed to overlap it.</t>
        </is>
      </c>
      <c r="L39" s="33" t="inlineStr">
        <is>
          <t>https://w3id.org/pmd/matsus/MATSUS_0000003 SubClassOf https://w3id.org/pmd/matsus/MATSUS_0000001.</t>
        </is>
      </c>
      <c r="M39" s="33" t="inlineStr">
        <is>
          <t>YES — PRESENT IN src/ontology/matsus-edit.owl</t>
        </is>
      </c>
      <c r="N39" s="33" t="inlineStr">
        <is>
          <t>PASS — ROBOT 1.9.2 syntax parse/convert; merged OWL 2 DL profile; ELK consistency; 5 repository SPARQL checks (0 violations). Quality report: 0 errors, 25 warnings. dicer-cli unavailable; IDs directly checked against 7-digit 0000000–0009999 policy.</t>
        </is>
      </c>
      <c r="O39" s="33" t="inlineStr">
        <is>
          <t>Recovered material dependency resolved as MATSUS_0000001. Later: represent suitability or intended use when a stable relation pattern is selected.</t>
        </is>
      </c>
      <c r="P39" s="33" t="inlineStr">
        <is>
          <t>IMPLEMENTED_AND_VALIDATED_WITH_WARNINGS</t>
        </is>
      </c>
      <c r="Q39" s="33" t="inlineStr">
        <is>
          <t>Retain suitability/intended-use modelling for later axiomatization; do not assert disjointness from recycled material.</t>
        </is>
      </c>
      <c r="R39" s="33" t="inlineStr">
        <is>
          <t>Final numeric IRI allocated under repository policy. Secondary material remains a positive category, not a complement of virgin material.</t>
        </is>
      </c>
    </row>
    <row r="40" ht="58" customHeight="1">
      <c r="A40" s="33" t="inlineStr">
        <is>
          <t>1 - LOCAL IMPLEMENTATION</t>
        </is>
      </c>
      <c r="B40" s="33" t="inlineStr">
        <is>
          <t>POST-MKB1-ASS-001</t>
        </is>
      </c>
      <c r="C40" s="33" t="inlineStr">
        <is>
          <t>Assessment</t>
        </is>
      </c>
      <c r="D40" s="33" t="inlineStr">
        <is>
          <t>material sustainability assessment</t>
        </is>
      </c>
      <c r="E40" s="33" t="inlineStr">
        <is>
          <t>IMPLEMENT_LOCAL_MATSUS_TERM</t>
        </is>
      </c>
      <c r="F40" s="33" t="inlineStr">
        <is>
          <t>MatSus</t>
        </is>
      </c>
      <c r="G40" s="33" t="inlineStr">
        <is>
          <t>https://w3id.org/pmd/matsus/MaterialSustainabilityAssessment</t>
        </is>
      </c>
      <c r="H40" s="33" t="inlineStr">
        <is>
          <t>OBI assay (OBI_0000070)</t>
        </is>
      </c>
      <c r="I40" s="33" t="inlineStr">
        <is>
          <t>POST_GATE_ACCEPTED</t>
        </is>
      </c>
      <c r="J40" s="33" t="inlineStr">
        <is>
          <t>https://w3id.org/pmd/matsus/MATSUS_0000004</t>
        </is>
      </c>
      <c r="K40" s="33" t="inlineStr">
        <is>
          <t>ACCEPT PROVISIONALLY — a thin MatSus assessment umbrella is justified, but it must be reconciled with the dedicated assessment batch.</t>
        </is>
      </c>
      <c r="L40" s="33" t="inlineStr">
        <is>
          <t>https://w3id.org/pmd/matsus/MATSUS_0000004 SubClassOf http://purl.obolibrary.org/obo/OBI_0000070.</t>
        </is>
      </c>
      <c r="M40" s="33" t="inlineStr">
        <is>
          <t>YES — PRESENT IN src/ontology/matsus-edit.owl</t>
        </is>
      </c>
      <c r="N40" s="33" t="inlineStr">
        <is>
          <t>PASS — ROBOT 1.9.2 syntax parse/convert; merged OWL 2 DL profile; ELK consistency; 5 repository SPARQL checks (0 violations). Quality report: 0 errors, 25 warnings. dicer-cli unavailable; IDs directly checked against 7-digit 0000000–0009999 policy.</t>
        </is>
      </c>
      <c r="O40" s="33" t="inlineStr">
        <is>
          <t>SRC-007 / SRC-009 / CLEO — Batch 2 scope reconciliation remains a later action; no missing parent/import dependency.</t>
        </is>
      </c>
      <c r="P40" s="33" t="inlineStr">
        <is>
          <t>PROVISIONALLY_IMPLEMENTED_AND_VALIDATED_WITH_WARNINGS</t>
        </is>
      </c>
      <c r="Q40" s="33" t="inlineStr">
        <is>
          <t>Reconcile the umbrella scope in Batch 2; add no further logical restrictions now.</t>
        </is>
      </c>
      <c r="R40" s="33" t="inlineStr">
        <is>
          <t>Final numeric IRI allocated under repository policy. OBI assay parent resolved in the current import closure.</t>
        </is>
      </c>
    </row>
    <row r="41" ht="58" customHeight="1">
      <c r="A41" s="33" t="inlineStr">
        <is>
          <t>1 - LOCAL IMPLEMENTATION</t>
        </is>
      </c>
      <c r="B41" s="33" t="inlineStr">
        <is>
          <t>MKB-000180-ASS</t>
        </is>
      </c>
      <c r="C41" s="33" t="inlineStr">
        <is>
          <t>Assessment</t>
        </is>
      </c>
      <c r="D41" s="33" t="inlineStr">
        <is>
          <t>resource-input reduction assessment</t>
        </is>
      </c>
      <c r="E41" s="33" t="inlineStr">
        <is>
          <t>IMPLEMENT_LOCAL_MATSUS_TERM</t>
        </is>
      </c>
      <c r="F41" s="33" t="inlineStr">
        <is>
          <t>MatSus</t>
        </is>
      </c>
      <c r="G41" s="33" t="inlineStr">
        <is>
          <t>https://w3id.org/pmd/matsus/ResourceInputReductionAssessment</t>
        </is>
      </c>
      <c r="H41" s="33" t="inlineStr">
        <is>
          <t>MatSus material sustainability assessment</t>
        </is>
      </c>
      <c r="I41" s="33" t="inlineStr">
        <is>
          <t>POST_GATE_ACCEPTED</t>
        </is>
      </c>
      <c r="J41" s="33" t="inlineStr">
        <is>
          <t>https://w3id.org/pmd/matsus/MATSUS_0000005</t>
        </is>
      </c>
      <c r="K41" s="33" t="inlineStr">
        <is>
          <t>ACCEPT — this is the evidential assessment counterpart of the reduction process and objective specification.</t>
        </is>
      </c>
      <c r="L41" s="33" t="inlineStr">
        <is>
          <t>https://w3id.org/pmd/matsus/MATSUS_0000005 SubClassOf https://w3id.org/pmd/matsus/MATSUS_0000004.</t>
        </is>
      </c>
      <c r="M41" s="33" t="inlineStr">
        <is>
          <t>YES — PRESENT IN src/ontology/matsus-edit.owl</t>
        </is>
      </c>
      <c r="N41" s="33" t="inlineStr">
        <is>
          <t>PASS — ROBOT 1.9.2 syntax parse/convert; merged OWL 2 DL profile; ELK consistency; 5 repository SPARQL checks (0 violations). Quality report: 0 errors, 25 warnings. dicer-cli unavailable; IDs directly checked against 7-digit 0000000–0009999 policy.</t>
        </is>
      </c>
      <c r="O41" s="33" t="inlineStr">
        <is>
          <t>Material sustainability assessment dependency resolved as MATSUS_0000004. Later: model the evaluated process/system, baseline, comparison conditions and output datum.</t>
        </is>
      </c>
      <c r="P41" s="33" t="inlineStr">
        <is>
          <t>IMPLEMENTED_AND_VALIDATED_WITH_WARNINGS</t>
        </is>
      </c>
      <c r="Q41" s="33" t="inlineStr">
        <is>
          <t>Keep assessment distinct from the process and objective specification; defer the remaining relations.</t>
        </is>
      </c>
      <c r="R41" s="33" t="inlineStr">
        <is>
          <t>Final numeric IRI allocated under repository policy; local parent is present in the same batch.</t>
        </is>
      </c>
    </row>
    <row r="42" ht="58" customHeight="1">
      <c r="A42" s="33" t="inlineStr">
        <is>
          <t>1 - LOCAL IMPLEMENTATION</t>
        </is>
      </c>
      <c r="B42" s="33" t="inlineStr">
        <is>
          <t>MKB-000180-OBJ</t>
        </is>
      </c>
      <c r="C42" s="33" t="inlineStr">
        <is>
          <t>Information/specification</t>
        </is>
      </c>
      <c r="D42" s="33" t="inlineStr">
        <is>
          <t>resource-input reduction objective specification</t>
        </is>
      </c>
      <c r="E42" s="33" t="inlineStr">
        <is>
          <t>IMPLEMENT_LOCAL_MATSUS_TERM</t>
        </is>
      </c>
      <c r="F42" s="33" t="inlineStr">
        <is>
          <t>MatSus</t>
        </is>
      </c>
      <c r="G42" s="33" t="inlineStr">
        <is>
          <t>https://w3id.org/pmd/matsus/ResourceInputReductionObjectiveSpecification</t>
        </is>
      </c>
      <c r="H42" s="33" t="inlineStr">
        <is>
          <t>IAO objective specification (IAO_0000005)</t>
        </is>
      </c>
      <c r="I42" s="33" t="inlineStr">
        <is>
          <t>POST_GATE_ACCEPTED</t>
        </is>
      </c>
      <c r="J42" s="33" t="inlineStr">
        <is>
          <t>https://w3id.org/pmd/matsus/MATSUS_0000006</t>
        </is>
      </c>
      <c r="K42" s="33" t="inlineStr">
        <is>
          <t>ACCEPT — this represents the intended reduction target; no separate resource-input reduction strategy specification is required.</t>
        </is>
      </c>
      <c r="L42" s="33" t="inlineStr">
        <is>
          <t>https://w3id.org/pmd/matsus/MATSUS_0000006 SubClassOf http://purl.obolibrary.org/obo/IAO_0000005.</t>
        </is>
      </c>
      <c r="M42" s="33" t="inlineStr">
        <is>
          <t>YES — PRESENT IN src/ontology/matsus-edit.owl</t>
        </is>
      </c>
      <c r="N42" s="33" t="inlineStr">
        <is>
          <t>PASS — ROBOT 1.9.2 syntax parse/convert; merged OWL 2 DL profile; ELK consistency; 5 repository SPARQL checks (0 violations). Quality report: 0 errors, 25 warnings. dicer-cli unavailable; IDs directly checked against 7-digit 0000000–0009999 policy.</t>
        </is>
      </c>
      <c r="O42" s="33" t="inlineStr">
        <is>
          <t>No unresolved parent/import dependency. Later: relate the target process/system, baseline, reduction amount and unit.</t>
        </is>
      </c>
      <c r="P42" s="33" t="inlineStr">
        <is>
          <t>IMPLEMENTED_AND_VALIDATED_WITH_WARNINGS</t>
        </is>
      </c>
      <c r="Q42" s="33" t="inlineStr">
        <is>
          <t>Keep the example as editorial guidance; do not add a resource-input reduction strategy specification.</t>
        </is>
      </c>
      <c r="R42" s="33" t="inlineStr">
        <is>
          <t>Final numeric IRI allocated under repository policy. IAO objective specification parent resolved in the current import closure.</t>
        </is>
      </c>
    </row>
  </sheetData>
  <conditionalFormatting sqref="K2:K36">
    <cfRule type="containsText" priority="1" operator="containsText" dxfId="2" text="REVISE"/>
    <cfRule type="containsText" priority="2" operator="containsText" dxfId="1" text="PROVISIONALLY"/>
    <cfRule type="containsText" priority="3" operator="containsText" dxfId="0" text="ACCEPT"/>
  </conditionalFormatting>
  <dataValidations count="3">
    <dataValidation sqref="M2:M36" showDropDown="0" showInputMessage="0" showErrorMessage="0" allowBlank="0" type="list">
      <formula1>"NO - DRAFT ONLY,IN PROGRESS,YES,N/A"</formula1>
    </dataValidation>
    <dataValidation sqref="N2:N36" showDropDown="0" showInputMessage="0" showErrorMessage="0" allowBlank="0" type="list">
      <formula1>"FULL BUILD TODO,IN PROGRESS,FULL BUILD PASSED,N/A"</formula1>
    </dataValidation>
    <dataValidation sqref="P2:P36" showDropDown="0" showInputMessage="0" showErrorMessage="0" allowBlank="0" type="list">
      <formula1>"DRAFT_READY_FOR_IR2,DRAFT_READY_ISSUE_SUBMITTED,PROVISIONAL_DRAFT_READY,PARTIAL_DRAFT_READY,IN_PROGRESS,DONE,ISSUE_SUBMITTED,LOG_ISSUE_PENDING,DEFERRED"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46"/>
  <sheetViews>
    <sheetView showGridLines="0" workbookViewId="0">
      <selection activeCell="A1" sqref="A1"/>
    </sheetView>
  </sheetViews>
  <sheetFormatPr baseColWidth="8" defaultRowHeight="14"/>
  <cols>
    <col width="28" customWidth="1" min="1" max="1"/>
    <col width="25" customWidth="1" min="2" max="2"/>
    <col width="26.83203125" customWidth="1" min="3" max="3"/>
    <col width="48" customWidth="1" min="4" max="4"/>
    <col width="78" customWidth="1" min="5" max="5"/>
    <col width="32.5" customWidth="1" min="6" max="6"/>
    <col width="78" customWidth="1" min="7" max="7"/>
    <col width="13" customWidth="1" min="8" max="8"/>
    <col width="64" customWidth="1" min="9" max="9"/>
    <col width="70" customWidth="1" min="10" max="10"/>
    <col width="58" customWidth="1" min="11" max="11"/>
    <col width="34" customWidth="1" min="12" max="12"/>
    <col width="48.4140625" customWidth="1" min="13" max="13"/>
    <col width="32.58203125" customWidth="1" min="14" max="14"/>
  </cols>
  <sheetData>
    <row r="1">
      <c r="A1" s="37" t="inlineStr">
        <is>
          <t>MKB ID(s)</t>
        </is>
      </c>
      <c r="B1" s="38" t="inlineStr">
        <is>
          <t>Ontology target</t>
        </is>
      </c>
      <c r="C1" s="38" t="inlineStr">
        <is>
          <t>Class label</t>
        </is>
      </c>
      <c r="D1" s="38" t="inlineStr">
        <is>
          <t>Recommended final IRI</t>
        </is>
      </c>
      <c r="E1" s="38" t="inlineStr">
        <is>
          <t>Draft/proposed definition</t>
        </is>
      </c>
      <c r="F1" s="38" t="inlineStr">
        <is>
          <t>Asserted/proposed parent</t>
        </is>
      </c>
      <c r="G1" s="38" t="inlineStr">
        <is>
          <t>Codex assessment</t>
        </is>
      </c>
      <c r="H1" s="38" t="inlineStr">
        <is>
          <t>Confidence</t>
        </is>
      </c>
      <c r="I1" s="38" t="inlineStr">
        <is>
          <t>Confirmed axiom(s) now</t>
        </is>
      </c>
      <c r="J1" s="38" t="inlineStr">
        <is>
          <t>Later axiomatization note</t>
        </is>
      </c>
      <c r="K1" s="38" t="inlineStr">
        <is>
          <t>Issue / dependency</t>
        </is>
      </c>
      <c r="L1" s="39" t="inlineStr">
        <is>
          <t>Implementation status</t>
        </is>
      </c>
      <c r="M1" s="41" t="inlineStr">
        <is>
          <t>Human decision / comment</t>
        </is>
      </c>
      <c r="N1" s="41" t="inlineStr">
        <is>
          <t>Editorial note</t>
        </is>
      </c>
    </row>
    <row r="2" ht="28" customHeight="1">
      <c r="A2" s="33" t="inlineStr">
        <is>
          <t>Supporting waste anchor</t>
        </is>
      </c>
      <c r="B2" s="33" t="inlineStr">
        <is>
          <t>MatSus provisional; PMDco candidate</t>
        </is>
      </c>
      <c r="C2" s="33" t="inlineStr">
        <is>
          <t>waste role</t>
        </is>
      </c>
      <c r="D2" s="33" t="inlineStr">
        <is>
          <t>https://w3id.org/pmd/matsus/WasteRole</t>
        </is>
      </c>
      <c r="E2" s="33" t="inlineStr">
        <is>
          <t>A role borne by a material entity when its holder discards it, intends to discard it, or is required to discard it.</t>
        </is>
      </c>
      <c r="F2" s="33" t="inlineStr">
        <is>
          <t>BFO role (BFO_0000023)</t>
        </is>
      </c>
      <c r="G2" s="33" t="inlineStr">
        <is>
          <t>ACCEPT PROVISIONALLY — strong contextual role pattern; replace/map only if PMDco issue #485 supplies the upstream anchor.</t>
        </is>
      </c>
      <c r="H2" s="33" t="inlineStr">
        <is>
          <t>HIGH</t>
        </is>
      </c>
      <c r="I2" s="33" t="inlineStr">
        <is>
          <t>WasteRole SubClassOf BFO role.</t>
        </is>
      </c>
      <c r="J2" s="33" t="inlineStr">
        <is>
          <t>Later: decide realization/context relations and whether a PMDco class replaces this local anchor.</t>
        </is>
      </c>
      <c r="K2" s="33" t="inlineStr">
        <is>
          <t>https://github.com/materialdigital/core-ontology/issues/485</t>
        </is>
      </c>
      <c r="L2" s="33" t="inlineStr">
        <is>
          <t>DRAFT EXISTS; NOT IN CURRENT SOURCE</t>
        </is>
      </c>
      <c r="M2" s="33" t="n"/>
      <c r="N2" s="33" t="n"/>
    </row>
    <row r="3" ht="28" customHeight="1">
      <c r="A3" s="33" t="inlineStr">
        <is>
          <t>Supporting waste anchor</t>
        </is>
      </c>
      <c r="B3" s="33" t="inlineStr">
        <is>
          <t>MatSus provisional; PMDco candidate</t>
        </is>
      </c>
      <c r="C3" s="33" t="inlineStr">
        <is>
          <t>waste material</t>
        </is>
      </c>
      <c r="D3" s="33" t="inlineStr">
        <is>
          <t>https://w3id.org/pmd/matsus/WasteMaterial</t>
        </is>
      </c>
      <c r="E3" s="33" t="inlineStr">
        <is>
          <t>A material that bears a waste role.</t>
        </is>
      </c>
      <c r="F3" s="33" t="inlineStr">
        <is>
          <t>PMDco material (PMD_0000000)</t>
        </is>
      </c>
      <c r="G3" s="33" t="inlineStr">
        <is>
          <t>ACCEPT PROVISIONALLY — the material-plus-role pattern is sound and supports the requested waste taxonomy.</t>
        </is>
      </c>
      <c r="H3" s="33" t="inlineStr">
        <is>
          <t>HIGH</t>
        </is>
      </c>
      <c r="I3" s="33" t="inlineStr">
        <is>
          <t>WasteMaterial SubClassOf PMDco material; WasteMaterial bears role some WasteRole (RO_0000087).</t>
        </is>
      </c>
      <c r="J3" s="33" t="inlineStr">
        <is>
          <t>Later: decide whether the role restriction remains necessary-only or becomes part of an equivalence; reconcile with #485.</t>
        </is>
      </c>
      <c r="K3" s="33" t="inlineStr">
        <is>
          <t>https://github.com/materialdigital/core-ontology/issues/485</t>
        </is>
      </c>
      <c r="L3" s="33" t="inlineStr">
        <is>
          <t>DRAFT EXISTS; NOT IN CURRENT SOURCE</t>
        </is>
      </c>
      <c r="M3" s="33" t="n"/>
      <c r="N3" s="33" t="n"/>
    </row>
    <row r="4" ht="28" customHeight="1">
      <c r="A4" s="33" t="inlineStr">
        <is>
          <t>MKB-000063</t>
        </is>
      </c>
      <c r="B4" s="33" t="inlineStr">
        <is>
          <t>MatSus</t>
        </is>
      </c>
      <c r="C4" s="33" t="inlineStr">
        <is>
          <t>construction and demolition waste</t>
        </is>
      </c>
      <c r="D4" s="33" t="inlineStr">
        <is>
          <t>https://w3id.org/pmd/matsus/ConstructionAndDemolitionWaste</t>
        </is>
      </c>
      <c r="E4" s="33" t="inlineStr">
        <is>
          <t>A waste material that arises from construction or demolition activities.</t>
        </is>
      </c>
      <c r="F4" s="33" t="inlineStr">
        <is>
          <t>MatSus waste material</t>
        </is>
      </c>
      <c r="G4" s="33" t="inlineStr">
        <is>
          <t>ACCEPT — clear waste subtype under the provisional waste-material anchor.</t>
        </is>
      </c>
      <c r="H4" s="33" t="inlineStr">
        <is>
          <t>HIGH</t>
        </is>
      </c>
      <c r="I4" s="33" t="inlineStr">
        <is>
          <t>ConstructionAndDemolitionWaste SubClassOf WasteMaterial.</t>
        </is>
      </c>
      <c r="J4" s="33" t="inlineStr">
        <is>
          <t>Later: add provenance/source criteria only if data integration requires them.</t>
        </is>
      </c>
      <c r="K4" s="33" t="inlineStr">
        <is>
          <t>https://github.com/materialdigital/core-ontology/issues/485</t>
        </is>
      </c>
      <c r="L4" s="33" t="inlineStr">
        <is>
          <t>DRAFT EXISTS; NOT IN CURRENT SOURCE</t>
        </is>
      </c>
      <c r="M4" s="33" t="n"/>
      <c r="N4" s="33" t="n"/>
    </row>
    <row r="5" ht="28" customHeight="1">
      <c r="A5" s="33" t="inlineStr">
        <is>
          <t>MKB-000144</t>
        </is>
      </c>
      <c r="B5" s="33" t="inlineStr">
        <is>
          <t>MatSus</t>
        </is>
      </c>
      <c r="C5" s="33" t="inlineStr">
        <is>
          <t>mineral waste</t>
        </is>
      </c>
      <c r="D5" s="33" t="inlineStr">
        <is>
          <t>https://w3id.org/pmd/matsus/MineralWaste</t>
        </is>
      </c>
      <c r="E5" s="33" t="inlineStr">
        <is>
          <t>A waste material composed predominantly of mineral matter.</t>
        </is>
      </c>
      <c r="F5" s="33" t="inlineStr">
        <is>
          <t>MatSus waste material</t>
        </is>
      </c>
      <c r="G5" s="33" t="inlineStr">
        <is>
          <t>ACCEPT PROVISIONALLY — parent is correct; retain the source scope because ‘predominantly mineral’ may require a threshold or classification rule.</t>
        </is>
      </c>
      <c r="H5" s="33" t="inlineStr">
        <is>
          <t>MEDIUM</t>
        </is>
      </c>
      <c r="I5" s="33" t="inlineStr">
        <is>
          <t>MineralWaste SubClassOf WasteMaterial.</t>
        </is>
      </c>
      <c r="J5" s="33" t="inlineStr">
        <is>
          <t>Later: model composition/threshold criteria as data or a classification specification, not an unsupported OWL cutoff.</t>
        </is>
      </c>
      <c r="K5" s="33" t="inlineStr">
        <is>
          <t>https://github.com/materialdigital/core-ontology/issues/485</t>
        </is>
      </c>
      <c r="L5" s="33" t="inlineStr">
        <is>
          <t>DRAFT EXISTS; NOT IN CURRENT SOURCE</t>
        </is>
      </c>
      <c r="M5" s="33" t="n"/>
      <c r="N5" s="33" t="n"/>
    </row>
    <row r="6" ht="28" customHeight="1">
      <c r="A6" s="33" t="inlineStr">
        <is>
          <t>MKB-000148</t>
        </is>
      </c>
      <c r="B6" s="33" t="inlineStr">
        <is>
          <t>MatSus</t>
        </is>
      </c>
      <c r="C6" s="33" t="inlineStr">
        <is>
          <t>municipal waste</t>
        </is>
      </c>
      <c r="D6" s="33" t="inlineStr">
        <is>
          <t>https://w3id.org/pmd/matsus/MunicipalWaste</t>
        </is>
      </c>
      <c r="E6" s="33" t="inlineStr">
        <is>
          <t>A waste material collected from households or a waste material from another source that is similar in nature and composition to household waste.</t>
        </is>
      </c>
      <c r="F6" s="33" t="inlineStr">
        <is>
          <t>MatSus waste material</t>
        </is>
      </c>
      <c r="G6" s="33" t="inlineStr">
        <is>
          <t>ACCEPT — definition and parent match the intended household/similar-source scope.</t>
        </is>
      </c>
      <c r="H6" s="33" t="inlineStr">
        <is>
          <t>HIGH</t>
        </is>
      </c>
      <c r="I6" s="33" t="inlineStr">
        <is>
          <t>MunicipalWaste SubClassOf WasteMaterial.</t>
        </is>
      </c>
      <c r="J6" s="33" t="inlineStr">
        <is>
          <t>Later: do not make municipal solid waste equivalent unless scope equivalence is confirmed.</t>
        </is>
      </c>
      <c r="K6" s="33" t="inlineStr">
        <is>
          <t>https://github.com/materialdigital/core-ontology/issues/485</t>
        </is>
      </c>
      <c r="L6" s="33" t="inlineStr">
        <is>
          <t>DRAFT EXISTS; NOT IN CURRENT SOURCE</t>
        </is>
      </c>
      <c r="M6" s="33" t="n"/>
      <c r="N6" s="33" t="n"/>
    </row>
    <row r="7" ht="28" customHeight="1">
      <c r="A7" s="33" t="inlineStr">
        <is>
          <t>MKB-000155</t>
        </is>
      </c>
      <c r="B7" s="33" t="inlineStr">
        <is>
          <t>MatSus</t>
        </is>
      </c>
      <c r="C7" s="33" t="inlineStr">
        <is>
          <t>packaging waste</t>
        </is>
      </c>
      <c r="D7" s="33" t="inlineStr">
        <is>
          <t>https://w3id.org/pmd/matsus/PackagingWaste</t>
        </is>
      </c>
      <c r="E7" s="33" t="inlineStr">
        <is>
          <t>A waste material that was packaging or packaging material before it acquired a waste role. Additional comment: this excludes production residues.</t>
        </is>
      </c>
      <c r="F7" s="33" t="inlineStr">
        <is>
          <t>MatSus waste material</t>
        </is>
      </c>
      <c r="G7" s="33" t="inlineStr">
        <is>
          <t xml:space="preserve">ACCEPT </t>
        </is>
      </c>
      <c r="H7" s="33" t="inlineStr">
        <is>
          <t>MEDIUM</t>
        </is>
      </c>
      <c r="I7" s="33" t="inlineStr">
        <is>
          <t>PackagingWaste SubClassOf WasteMaterial.</t>
        </is>
      </c>
      <c r="J7" s="33" t="inlineStr">
        <is>
          <t>Later: record former packaging function/role and any production-residue exclusion if required by the source definition.</t>
        </is>
      </c>
      <c r="K7" s="33" t="inlineStr">
        <is>
          <t>https://github.com/materialdigital/core-ontology/issues/485</t>
        </is>
      </c>
      <c r="L7" s="33" t="inlineStr">
        <is>
          <t>DRAFT EXISTS; NOT IN CURRENT SOURCE</t>
        </is>
      </c>
      <c r="M7" s="33" t="n"/>
      <c r="N7" s="33" t="n"/>
    </row>
    <row r="8" ht="28" customHeight="1">
      <c r="A8" s="33" t="inlineStr">
        <is>
          <t>MKB-000249</t>
        </is>
      </c>
      <c r="B8" s="33" t="inlineStr">
        <is>
          <t>MatSus</t>
        </is>
      </c>
      <c r="C8" s="33" t="inlineStr">
        <is>
          <t>textile waste</t>
        </is>
      </c>
      <c r="D8" s="33" t="inlineStr">
        <is>
          <t>https://w3id.org/pmd/matsus/TextileWaste</t>
        </is>
      </c>
      <c r="E8" s="33" t="inlineStr">
        <is>
          <t>A waste material composed predominantly of textile material or discarded textile products.</t>
        </is>
      </c>
      <c r="F8" s="33" t="inlineStr">
        <is>
          <t>MatSus waste material</t>
        </is>
      </c>
      <c r="G8" s="33" t="inlineStr">
        <is>
          <t>ACCEPT PROVISIONALLY — usable broad subtype; keep source-specific textile composition/product criteria outside the core definition for now.</t>
        </is>
      </c>
      <c r="H8" s="33" t="inlineStr">
        <is>
          <t>MEDIUM</t>
        </is>
      </c>
      <c r="I8" s="33" t="inlineStr">
        <is>
          <t>TextileWaste SubClassOf WasteMaterial.</t>
        </is>
      </c>
      <c r="J8" s="33" t="inlineStr">
        <is>
          <t>Later: add fibre/composition/product-type refinements only from concrete use cases.</t>
        </is>
      </c>
      <c r="K8" s="33" t="inlineStr">
        <is>
          <t>https://github.com/materialdigital/core-ontology/issues/485</t>
        </is>
      </c>
      <c r="L8" s="33" t="inlineStr">
        <is>
          <t>DRAFT EXISTS; NOT IN CURRENT SOURCE</t>
        </is>
      </c>
      <c r="M8" s="33" t="n"/>
      <c r="N8" s="33" t="n"/>
    </row>
    <row r="9" ht="28" customHeight="1">
      <c r="A9" s="33" t="inlineStr">
        <is>
          <t>Supporting waste process</t>
        </is>
      </c>
      <c r="B9" s="33" t="inlineStr">
        <is>
          <t>MatSus</t>
        </is>
      </c>
      <c r="C9" s="33" t="inlineStr">
        <is>
          <t>waste collection process</t>
        </is>
      </c>
      <c r="D9" s="33" t="inlineStr">
        <is>
          <t>https://w3id.org/pmd/matsus/WasteCollectionProcess</t>
        </is>
      </c>
      <c r="E9" s="33" t="inlineStr">
        <is>
          <t>A planned process in which waste material is gathered from one or more holders or locations for transport, storage, sorting, recovery, treatment, or disposal.</t>
        </is>
      </c>
      <c r="F9" s="33" t="inlineStr">
        <is>
          <t>COB planned process (COB_0000082)</t>
        </is>
      </c>
      <c r="G9" s="33" t="inlineStr">
        <is>
          <t>ACCEPT — planned-process parent and definition are appropriate.</t>
        </is>
      </c>
      <c r="H9" s="33" t="inlineStr">
        <is>
          <t>HIGH</t>
        </is>
      </c>
      <c r="I9" s="33" t="inlineStr">
        <is>
          <t>WasteCollectionProcess SubClassOf COB planned process.</t>
        </is>
      </c>
      <c r="J9" s="33" t="inlineStr">
        <is>
          <t>Later: add waste participant, source location, destination and responsible-agent relations.</t>
        </is>
      </c>
      <c r="K9" s="33" t="inlineStr">
        <is>
          <t>https://github.com/materialdigital/core-ontology/issues/485</t>
        </is>
      </c>
      <c r="L9" s="33" t="inlineStr">
        <is>
          <t>DRAFT EXISTS; NOT IN CURRENT SOURCE</t>
        </is>
      </c>
      <c r="M9" s="33" t="n"/>
      <c r="N9" s="33" t="n"/>
    </row>
    <row r="10" ht="28" customHeight="1">
      <c r="A10" s="33" t="inlineStr">
        <is>
          <t>MKB-000231 supporting class</t>
        </is>
      </c>
      <c r="B10" s="33" t="inlineStr">
        <is>
          <t>MatSus</t>
        </is>
      </c>
      <c r="C10" s="33" t="inlineStr">
        <is>
          <t>sorting process</t>
        </is>
      </c>
      <c r="D10" s="33" t="inlineStr">
        <is>
          <t>https://w3id.org/pmd/matsus/SortingProcess</t>
        </is>
      </c>
      <c r="E10" s="33" t="inlineStr">
        <is>
          <t>A planned process in which material entities are assigned to different groups or streams according to specified criteria.</t>
        </is>
      </c>
      <c r="F10" s="33" t="inlineStr">
        <is>
          <t>COB planned process (COB_0000082)</t>
        </is>
      </c>
      <c r="G10" s="33" t="inlineStr">
        <is>
          <t>ACCEPT — generic sorting is correctly represented as a process.</t>
        </is>
      </c>
      <c r="H10" s="33" t="inlineStr">
        <is>
          <t>HIGH</t>
        </is>
      </c>
      <c r="I10" s="33" t="inlineStr">
        <is>
          <t>SortingProcess SubClassOf COB planned process.</t>
        </is>
      </c>
      <c r="J10" s="33" t="inlineStr">
        <is>
          <t>Later: connect the process to its criteria/method specification and sorted inputs/outputs.</t>
        </is>
      </c>
      <c r="K10" s="33" t="n"/>
      <c r="L10" s="33" t="inlineStr">
        <is>
          <t>DRAFT EXISTS; NOT IN CURRENT SOURCE</t>
        </is>
      </c>
      <c r="M10" s="33" t="n"/>
      <c r="N10" s="33" t="n"/>
    </row>
    <row r="11" ht="28" customHeight="1">
      <c r="A11" s="33" t="inlineStr">
        <is>
          <t>Supporting waste process</t>
        </is>
      </c>
      <c r="B11" s="33" t="inlineStr">
        <is>
          <t>MatSus</t>
        </is>
      </c>
      <c r="C11" s="33" t="inlineStr">
        <is>
          <t>waste separation process</t>
        </is>
      </c>
      <c r="D11" s="33" t="inlineStr">
        <is>
          <t>https://w3id.org/pmd/matsus/WasteSeparationProcess</t>
        </is>
      </c>
      <c r="E11" s="33" t="inlineStr">
        <is>
          <t>A sorting process in which waste material is assigned to different groups or streams according to specified criteria.</t>
        </is>
      </c>
      <c r="F11" s="33" t="inlineStr">
        <is>
          <t>MatSus sorting process</t>
        </is>
      </c>
      <c r="G11" s="33" t="inlineStr">
        <is>
          <t>ACCEPT — waste separation is a defensible sorting-process subtype.</t>
        </is>
      </c>
      <c r="H11" s="33" t="inlineStr">
        <is>
          <t>HIGH</t>
        </is>
      </c>
      <c r="I11" s="33" t="inlineStr">
        <is>
          <t>WasteSeparationProcess SubClassOf SortingProcess.</t>
        </is>
      </c>
      <c r="J11" s="33" t="inlineStr">
        <is>
          <t>Later: add waste input and separated-stream output restrictions after example testing.</t>
        </is>
      </c>
      <c r="K11" s="33" t="inlineStr">
        <is>
          <t>https://github.com/materialdigital/core-ontology/issues/485</t>
        </is>
      </c>
      <c r="L11" s="33" t="inlineStr">
        <is>
          <t>DRAFT EXISTS; NOT IN CURRENT SOURCE</t>
        </is>
      </c>
      <c r="M11" s="33" t="n"/>
      <c r="N11" s="33" t="n"/>
    </row>
    <row r="12" ht="28" customHeight="1">
      <c r="A12" s="33" t="inlineStr">
        <is>
          <t>MKB-000263</t>
        </is>
      </c>
      <c r="B12" s="33" t="inlineStr">
        <is>
          <t>MatSus</t>
        </is>
      </c>
      <c r="C12" s="33" t="inlineStr">
        <is>
          <t>waste generation process</t>
        </is>
      </c>
      <c r="D12" s="33" t="inlineStr">
        <is>
          <t>https://w3id.org/pmd/matsus/WasteGenerationProcess</t>
        </is>
      </c>
      <c r="E12" s="33" t="inlineStr">
        <is>
          <t>A process that has as output a material entity that bears a waste role.</t>
        </is>
      </c>
      <c r="F12" s="33" t="inlineStr">
        <is>
          <t>BFO process (BFO_0000015)</t>
        </is>
      </c>
      <c r="G12" s="33" t="inlineStr">
        <is>
          <t>ACCEPT — the general process parent avoids incorrectly assuming intentional production.</t>
        </is>
      </c>
      <c r="H12" s="33" t="inlineStr">
        <is>
          <t>HIGH</t>
        </is>
      </c>
      <c r="I12" s="33" t="inlineStr">
        <is>
          <t>WasteGenerationProcess SubClassOf BFO process; has output some WasteMaterial (RO_0002234).</t>
        </is>
      </c>
      <c r="J12" s="33" t="inlineStr">
        <is>
          <t>Later: distinguish planned manufacturing waste from unplanned generation through context, not subclasses unless needed.</t>
        </is>
      </c>
      <c r="K12" s="33" t="inlineStr">
        <is>
          <t>https://github.com/materialdigital/core-ontology/issues/485</t>
        </is>
      </c>
      <c r="L12" s="33" t="inlineStr">
        <is>
          <t>DRAFT EXISTS; NOT IN CURRENT SOURCE</t>
        </is>
      </c>
      <c r="M12" s="33" t="n"/>
      <c r="N12" s="33" t="n"/>
    </row>
    <row r="13" ht="28" customHeight="1">
      <c r="A13" s="33" t="inlineStr">
        <is>
          <t>MKB-000264</t>
        </is>
      </c>
      <c r="B13" s="33" t="inlineStr">
        <is>
          <t>MatSus</t>
        </is>
      </c>
      <c r="C13" s="33" t="inlineStr">
        <is>
          <t>waste prevention process</t>
        </is>
      </c>
      <c r="D13" s="33" t="inlineStr">
        <is>
          <t>https://w3id.org/pmd/matsus/WastePreventionProcess</t>
        </is>
      </c>
      <c r="E13" s="33" t="inlineStr">
        <is>
          <t>A planned process that is intended to reduce the quantity or harmfulness of waste generated, or the adverse impacts of generated waste on the environment and human health.</t>
        </is>
      </c>
      <c r="F13" s="33" t="inlineStr">
        <is>
          <t>COB planned process (COB_0000082)</t>
        </is>
      </c>
      <c r="G13" s="33" t="inlineStr">
        <is>
          <t>ACCEPT — the process/specification split is correct.</t>
        </is>
      </c>
      <c r="H13" s="33" t="inlineStr">
        <is>
          <t>HIGH</t>
        </is>
      </c>
      <c r="I13" s="33" t="inlineStr">
        <is>
          <t>WastePreventionProcess SubClassOf COB planned process.</t>
        </is>
      </c>
      <c r="J13" s="33" t="inlineStr">
        <is>
          <t>Later: relate prevention processes to targeted material/product streams and prevention outcomes.</t>
        </is>
      </c>
      <c r="K13" s="33" t="inlineStr">
        <is>
          <t>https://github.com/materialdigital/core-ontology/issues/485</t>
        </is>
      </c>
      <c r="L13" s="33" t="inlineStr">
        <is>
          <t>DRAFT EXISTS; NOT IN CURRENT SOURCE</t>
        </is>
      </c>
      <c r="M13" s="33" t="n"/>
      <c r="N13" s="33" t="n"/>
    </row>
    <row r="14" ht="28" customHeight="1">
      <c r="A14" s="33" t="inlineStr">
        <is>
          <t>MKB-000264</t>
        </is>
      </c>
      <c r="B14" s="33" t="inlineStr">
        <is>
          <t>MatSus</t>
        </is>
      </c>
      <c r="C14" s="33" t="inlineStr">
        <is>
          <t>waste prevention measure specification</t>
        </is>
      </c>
      <c r="D14" s="33" t="inlineStr">
        <is>
          <t>https://w3id.org/pmd/matsus/WastePreventionMeasureSpecification</t>
        </is>
      </c>
      <c r="E14" s="33" t="inlineStr">
        <is>
          <t>A plan specification that prescribes actions intended to realize a waste prevention process.</t>
        </is>
      </c>
      <c r="F14" s="33" t="inlineStr">
        <is>
          <t>IAO plan specification (IAO_0000104)</t>
        </is>
      </c>
      <c r="G14" s="33" t="inlineStr">
        <is>
          <t>ACCEPT — it is an information artifact prescribing a prevention process, not the process itself.</t>
        </is>
      </c>
      <c r="H14" s="33" t="inlineStr">
        <is>
          <t>HIGH</t>
        </is>
      </c>
      <c r="I14" s="33" t="inlineStr">
        <is>
          <t>WastePreventionMeasureSpecification SubClassOf IAO plan specification.</t>
        </is>
      </c>
      <c r="J14" s="33" t="inlineStr">
        <is>
          <t>Later: connect the specification to the planned process it prescribes.</t>
        </is>
      </c>
      <c r="K14" s="33" t="inlineStr">
        <is>
          <t>https://github.com/materialdigital/core-ontology/issues/485</t>
        </is>
      </c>
      <c r="L14" s="33" t="inlineStr">
        <is>
          <t>DRAFT EXISTS; NOT IN CURRENT SOURCE</t>
        </is>
      </c>
      <c r="M14" s="33" t="n"/>
      <c r="N14" s="33" t="n"/>
    </row>
    <row r="15" ht="42" customHeight="1">
      <c r="A15" s="33" t="inlineStr">
        <is>
          <t>MKB-000266</t>
        </is>
      </c>
      <c r="B15" s="33" t="inlineStr">
        <is>
          <t>MatSus</t>
        </is>
      </c>
      <c r="C15" s="33" t="inlineStr">
        <is>
          <t>zero waste objective specification</t>
        </is>
      </c>
      <c r="D15" s="33" t="inlineStr">
        <is>
          <t>https://w3id.org/pmd/matsus/ZeroWasteObjectiveSpecification</t>
        </is>
      </c>
      <c r="E15" s="33" t="inlineStr">
        <is>
          <t>An objective specification that describes an intended endpoint in which waste generation and disposal are prevented or minimized through responsible production, consumption, reuse, and recovery.</t>
        </is>
      </c>
      <c r="F15" s="33" t="inlineStr">
        <is>
          <t>IAO objective specification (IAO_0000005)</t>
        </is>
      </c>
      <c r="G15" s="33" t="inlineStr">
        <is>
          <t>ACCEPT — zero waste is correctly represented as a desired endpoint.</t>
        </is>
      </c>
      <c r="H15" s="33" t="inlineStr">
        <is>
          <t>HIGH</t>
        </is>
      </c>
      <c r="I15" s="33" t="inlineStr">
        <is>
          <t>ZeroWasteObjectiveSpecification SubClassOf IAO objective specification.</t>
        </is>
      </c>
      <c r="J15" s="33" t="inlineStr">
        <is>
          <t>Later: represent scope, baseline and tolerated residual waste as information content if required.</t>
        </is>
      </c>
      <c r="K15" s="33" t="inlineStr">
        <is>
          <t>https://github.com/materialdigital/core-ontology/issues/485</t>
        </is>
      </c>
      <c r="L15" s="33" t="inlineStr">
        <is>
          <t>DRAFT EXISTS; NOT IN CURRENT SOURCE</t>
        </is>
      </c>
      <c r="M15" s="33" t="n"/>
      <c r="N15" s="33" t="n"/>
    </row>
    <row r="16" ht="28" customHeight="1">
      <c r="A16" s="33" t="inlineStr">
        <is>
          <t>MKB-000266</t>
        </is>
      </c>
      <c r="B16" s="33" t="inlineStr">
        <is>
          <t>MatSus</t>
        </is>
      </c>
      <c r="C16" s="33" t="inlineStr">
        <is>
          <t>zero waste strategy specification</t>
        </is>
      </c>
      <c r="D16" s="33" t="inlineStr">
        <is>
          <t>https://w3id.org/pmd/matsus/ZeroWasteStrategySpecification</t>
        </is>
      </c>
      <c r="E16" s="33" t="inlineStr">
        <is>
          <t>A plan specification that prescribes actions intended to achieve a zero-waste objective.</t>
        </is>
      </c>
      <c r="F16" s="33" t="inlineStr">
        <is>
          <t>IAO plan specification (IAO_0000104)</t>
        </is>
      </c>
      <c r="G16" s="33" t="inlineStr">
        <is>
          <t>ACCEPT — a strategy is correctly separated from the objective.</t>
        </is>
      </c>
      <c r="H16" s="33" t="inlineStr">
        <is>
          <t>HIGH</t>
        </is>
      </c>
      <c r="I16" s="33" t="inlineStr">
        <is>
          <t>ZeroWasteStrategySpecification SubClassOf IAO plan specification.</t>
        </is>
      </c>
      <c r="J16" s="33" t="inlineStr">
        <is>
          <t>Later: relate the strategy to its objective and prescribed prevention/reuse/recovery processes.</t>
        </is>
      </c>
      <c r="K16" s="33" t="inlineStr">
        <is>
          <t>https://github.com/materialdigital/core-ontology/issues/485</t>
        </is>
      </c>
      <c r="L16" s="33" t="inlineStr">
        <is>
          <t>DRAFT EXISTS; NOT IN CURRENT SOURCE</t>
        </is>
      </c>
      <c r="M16" s="33" t="n"/>
      <c r="N16" s="33" t="n"/>
    </row>
    <row r="17" ht="28" customHeight="1">
      <c r="A17" s="33" t="inlineStr">
        <is>
          <t>MKB-000236</t>
        </is>
      </c>
      <c r="B17" s="33" t="inlineStr">
        <is>
          <t>MatSus</t>
        </is>
      </c>
      <c r="C17" s="33" t="inlineStr">
        <is>
          <t>waste analysis</t>
        </is>
      </c>
      <c r="D17" s="33" t="inlineStr">
        <is>
          <t>https://w3id.org/pmd/matsus/WasteAnalysis</t>
        </is>
      </c>
      <c r="E17" s="33" t="inlineStr">
        <is>
          <t>An assay intended to produce information about waste material, a waste-generating process, or a waste stream.</t>
        </is>
      </c>
      <c r="F17" s="33" t="inlineStr">
        <is>
          <t>OBI assay (OBI_0000070)</t>
        </is>
      </c>
      <c r="G17" s="33" t="inlineStr">
        <is>
          <t>ACCEPT — analysis as an assay producing information is the right pattern.</t>
        </is>
      </c>
      <c r="H17" s="33" t="inlineStr">
        <is>
          <t>HIGH</t>
        </is>
      </c>
      <c r="I17" s="33" t="inlineStr">
        <is>
          <t>WasteAnalysis SubClassOf OBI assay.</t>
        </is>
      </c>
      <c r="J17" s="33" t="inlineStr">
        <is>
          <t>Later: add evaluant, method and output-datum relations using a concrete waste-stream example.</t>
        </is>
      </c>
      <c r="K17" s="33" t="inlineStr">
        <is>
          <t>https://github.com/materialdigital/core-ontology/issues/485</t>
        </is>
      </c>
      <c r="L17" s="33" t="inlineStr">
        <is>
          <t>DRAFT EXISTS; NOT IN CURRENT SOURCE</t>
        </is>
      </c>
      <c r="M17" s="33" t="n"/>
      <c r="N17" s="33" t="n"/>
    </row>
    <row r="18" ht="28" customHeight="1">
      <c r="A18" s="33" t="inlineStr">
        <is>
          <t>MKB-000236</t>
        </is>
      </c>
      <c r="B18" s="33" t="inlineStr">
        <is>
          <t>MatSus</t>
        </is>
      </c>
      <c r="C18" s="33" t="inlineStr">
        <is>
          <t>structural waste analysis</t>
        </is>
      </c>
      <c r="D18" s="33" t="inlineStr">
        <is>
          <t>https://w3id.org/pmd/matsus/StructuralWasteAnalysis</t>
        </is>
      </c>
      <c r="E18" s="33" t="inlineStr">
        <is>
          <t>A waste analysis intended to produce information about the composition, organization, distribution, or recurring generation patterns of a waste stream or waste-generating system.</t>
        </is>
      </c>
      <c r="F18" s="33" t="inlineStr">
        <is>
          <t>MatSus waste analysis</t>
        </is>
      </c>
      <c r="G18" s="33" t="inlineStr">
        <is>
          <t xml:space="preserve">ACCEPT </t>
        </is>
      </c>
      <c r="H18" s="33" t="inlineStr">
        <is>
          <t>MEDIUM</t>
        </is>
      </c>
      <c r="I18" s="33" t="inlineStr">
        <is>
          <t>StructuralWasteAnalysis SubClassOf WasteAnalysis.</t>
        </is>
      </c>
      <c r="J18" s="33" t="inlineStr">
        <is>
          <t>Later: decide whether source analysis is a sibling of structural/composition analysis.</t>
        </is>
      </c>
      <c r="K18" s="33" t="inlineStr">
        <is>
          <t>https://github.com/materialdigital/core-ontology/issues/485</t>
        </is>
      </c>
      <c r="L18" s="33" t="inlineStr">
        <is>
          <t>DRAFT EXISTS; NOT IN CURRENT SOURCE</t>
        </is>
      </c>
      <c r="M18" s="33" t="inlineStr">
        <is>
          <t>thoughts before resovling: dont get whats the problem with the draft definition mixes structural/compositional analysis with recurring-source analysis; narrow the definition or rename the class. cant it be generic? whats isdiffernet between structral waste analysis and waste anaylsis in matsus</t>
        </is>
      </c>
      <c r="N18" s="33" t="n"/>
    </row>
    <row r="19" ht="28" customHeight="1">
      <c r="A19" s="33" t="inlineStr">
        <is>
          <t>MKB-000181; MKB-000182</t>
        </is>
      </c>
      <c r="B19" s="33" t="inlineStr">
        <is>
          <t>MatSus</t>
        </is>
      </c>
      <c r="C19" s="33" t="inlineStr">
        <is>
          <t>refill process</t>
        </is>
      </c>
      <c r="D19" s="33" t="inlineStr">
        <is>
          <t>https://w3id.org/pmd/matsus/RefillProcess</t>
        </is>
      </c>
      <c r="E19" s="33" t="inlineStr">
        <is>
          <t>A planned process in which a product container or dispensing device is supplied again with a material product for further use without first becoming waste.</t>
        </is>
      </c>
      <c r="F19" s="33" t="inlineStr">
        <is>
          <t>COB planned process (COB_0000082)</t>
        </is>
      </c>
      <c r="G19" s="33" t="inlineStr">
        <is>
          <t>ACCEPT — one generic process correctly consolidates at-home and on-the-go contexts.</t>
        </is>
      </c>
      <c r="H19" s="33" t="inlineStr">
        <is>
          <t>HIGH</t>
        </is>
      </c>
      <c r="I19" s="33" t="inlineStr">
        <is>
          <t>RefillProcess SubClassOf COB planned process.</t>
        </is>
      </c>
      <c r="J19" s="33" t="inlineStr">
        <is>
          <t>Later: add container/device, refilled material and context relations only when queries require them.</t>
        </is>
      </c>
      <c r="K19" s="33" t="n"/>
      <c r="L19" s="33" t="inlineStr">
        <is>
          <t>DRAFT EXISTS; NOT IN CURRENT SOURCE</t>
        </is>
      </c>
      <c r="M19" s="33" t="n"/>
      <c r="N19" s="33" t="n"/>
    </row>
    <row r="20" ht="28" customHeight="1">
      <c r="A20" s="33" t="inlineStr">
        <is>
          <t>MKB-000231</t>
        </is>
      </c>
      <c r="B20" s="33" t="inlineStr">
        <is>
          <t>MatSus</t>
        </is>
      </c>
      <c r="C20" s="33" t="inlineStr">
        <is>
          <t>sorting method specification</t>
        </is>
      </c>
      <c r="D20" s="33" t="inlineStr">
        <is>
          <t>https://w3id.org/pmd/matsus/SortingMethodSpecification</t>
        </is>
      </c>
      <c r="E20" s="33" t="inlineStr">
        <is>
          <t>A plan specification that prescribes how a sorting process is to be carried out.</t>
        </is>
      </c>
      <c r="F20" s="33" t="inlineStr">
        <is>
          <t>IAO plan specification (IAO_0000104)</t>
        </is>
      </c>
      <c r="G20" s="33" t="inlineStr">
        <is>
          <t>ACCEPT — correctly modelled as an information artifact, explicitly not as a sorting-process subclass.</t>
        </is>
      </c>
      <c r="H20" s="33" t="inlineStr">
        <is>
          <t>HIGH</t>
        </is>
      </c>
      <c r="I20" s="33" t="inlineStr">
        <is>
          <t>SortingMethodSpecification SubClassOf IAO plan specification. No subclass axiom to SortingProcess.</t>
        </is>
      </c>
      <c r="J20" s="33" t="inlineStr">
        <is>
          <t>Later: relate the method specification to the sorting process it prescribes.</t>
        </is>
      </c>
      <c r="K20" s="33" t="n"/>
      <c r="L20" s="33" t="inlineStr">
        <is>
          <t>DRAFT EXISTS; NOT IN CURRENT SOURCE</t>
        </is>
      </c>
      <c r="M20" s="33" t="n"/>
      <c r="N20" s="33" t="n"/>
    </row>
    <row r="21" ht="28" customHeight="1">
      <c r="A21" s="33" t="inlineStr">
        <is>
          <t>MKB-000202</t>
        </is>
      </c>
      <c r="B21" s="33" t="inlineStr">
        <is>
          <t>MatSus</t>
        </is>
      </c>
      <c r="C21" s="33" t="inlineStr">
        <is>
          <t>repurposing process</t>
        </is>
      </c>
      <c r="D21" s="33" t="inlineStr">
        <is>
          <t>https://w3id.org/pmd/matsus/RepurposingProcess</t>
        </is>
      </c>
      <c r="E21" s="33" t="inlineStr">
        <is>
          <t>A planned process in which a product, component, or material is prepared or modified so that it can fulfil a purpose different from its preceding intended purpose.</t>
        </is>
      </c>
      <c r="F21" s="33" t="inlineStr">
        <is>
          <t>COB planned process (COB_0000082)</t>
        </is>
      </c>
      <c r="G21" s="33" t="inlineStr">
        <is>
          <t>ACCEPT — the new-purpose distinction is captured clearly.</t>
        </is>
      </c>
      <c r="H21" s="33" t="inlineStr">
        <is>
          <t>HIGH</t>
        </is>
      </c>
      <c r="I21" s="33" t="inlineStr">
        <is>
          <t>RepurposingProcess SubClassOf COB planned process.</t>
        </is>
      </c>
      <c r="J21" s="33" t="inlineStr">
        <is>
          <t>Later: represent prior intended purpose, new intended purpose and affected product/component/material.</t>
        </is>
      </c>
      <c r="K21" s="33" t="n"/>
      <c r="L21" s="33" t="inlineStr">
        <is>
          <t>DRAFT EXISTS; NOT IN CURRENT SOURCE</t>
        </is>
      </c>
      <c r="M21" s="33" t="n"/>
      <c r="N21" s="33" t="n"/>
    </row>
    <row r="22" ht="28" customHeight="1">
      <c r="A22" s="33" t="inlineStr">
        <is>
          <t>MKB-000009</t>
        </is>
      </c>
      <c r="B22" s="33" t="inlineStr">
        <is>
          <t>MatSus</t>
        </is>
      </c>
      <c r="C22" s="33" t="inlineStr">
        <is>
          <t>battery repurposing process</t>
        </is>
      </c>
      <c r="D22" s="33" t="inlineStr">
        <is>
          <t>https://w3id.org/pmd/matsus/BatteryRepurposingProcess</t>
        </is>
      </c>
      <c r="E22" s="33" t="inlineStr">
        <is>
          <t>A repurposing process whose primary participant is a battery or battery component.</t>
        </is>
      </c>
      <c r="F22" s="33" t="inlineStr">
        <is>
          <t>MatSus repurposing process</t>
        </is>
      </c>
      <c r="G22" s="33" t="inlineStr">
        <is>
          <t>ACCEPT — appropriate battery-specific specialization.</t>
        </is>
      </c>
      <c r="H22" s="33" t="inlineStr">
        <is>
          <t>HIGH</t>
        </is>
      </c>
      <c r="I22" s="33" t="inlineStr">
        <is>
          <t>BatteryRepurposingProcess SubClassOf RepurposingProcess.</t>
        </is>
      </c>
      <c r="J22" s="33" t="inlineStr">
        <is>
          <t>Later: add battery participant and second-life/new-purpose relations from a use case.</t>
        </is>
      </c>
      <c r="K22" s="33" t="n"/>
      <c r="L22" s="33" t="inlineStr">
        <is>
          <t>DRAFT EXISTS; NOT IN CURRENT SOURCE</t>
        </is>
      </c>
      <c r="M22" s="33" t="n"/>
      <c r="N22" s="33" t="n"/>
    </row>
    <row r="23" ht="28" customHeight="1">
      <c r="A23" s="33" t="inlineStr">
        <is>
          <t>MKB-000189</t>
        </is>
      </c>
      <c r="B23" s="33" t="inlineStr">
        <is>
          <t>MatSus</t>
        </is>
      </c>
      <c r="C23" s="33" t="inlineStr">
        <is>
          <t>remanufacturing process</t>
        </is>
      </c>
      <c r="D23" s="33" t="inlineStr">
        <is>
          <t>https://w3id.org/pmd/matsus/RemanufacturingProcess</t>
        </is>
      </c>
      <c r="E23" s="33" t="inlineStr">
        <is>
          <t>A planned process in which a used product or component is restored to a specified performance and quality state through inspection and one or more restorative operations.</t>
        </is>
      </c>
      <c r="F23" s="33" t="inlineStr">
        <is>
          <t>COB planned process (COB_0000082)</t>
        </is>
      </c>
      <c r="G23" s="33" t="inlineStr">
        <is>
          <t>ACCEPT — process parent and restorative-performance definition are defensible.</t>
        </is>
      </c>
      <c r="H23" s="33" t="inlineStr">
        <is>
          <t>HIGH</t>
        </is>
      </c>
      <c r="I23" s="33" t="inlineStr">
        <is>
          <t>RemanufacturingProcess SubClassOf COB planned process.</t>
        </is>
      </c>
      <c r="J23" s="33" t="inlineStr">
        <is>
          <t>Later: model used input, retained identity/components, restorative operations and specified output state.</t>
        </is>
      </c>
      <c r="K23" s="33" t="n"/>
      <c r="L23" s="33" t="inlineStr">
        <is>
          <t>DRAFT EXISTS; NOT IN CURRENT SOURCE</t>
        </is>
      </c>
      <c r="M23" s="33" t="n"/>
      <c r="N23" s="33" t="n"/>
    </row>
    <row r="24" ht="76" customHeight="1">
      <c r="A24" s="33" t="inlineStr">
        <is>
          <t>MKB-000180</t>
        </is>
      </c>
      <c r="B24" s="33" t="inlineStr">
        <is>
          <t>MatSus</t>
        </is>
      </c>
      <c r="C24" s="33" t="inlineStr">
        <is>
          <t>resource input reduction process</t>
        </is>
      </c>
      <c r="D24" s="33" t="inlineStr">
        <is>
          <t>https://w3id.org/pmd/matsus/ResourceInputReductionProcess</t>
        </is>
      </c>
      <c r="E24" s="33" t="inlineStr">
        <is>
          <t>A planned process intended to reduce the amount of material input used by a process or system.</t>
        </is>
      </c>
      <c r="F24" s="33" t="inlineStr">
        <is>
          <t>COB planned process (COB_0000082)</t>
        </is>
      </c>
      <c r="G24" s="33" t="inlineStr">
        <is>
          <t>ACCEPT — broad intentional intervention class; the process may reduce material input directly or by changing another process or system.</t>
        </is>
      </c>
      <c r="H24" s="33" t="inlineStr">
        <is>
          <t>HIGH</t>
        </is>
      </c>
      <c r="I24" s="33" t="inlineStr">
        <is>
          <t>ResourceInputReductionProcess SubClassOf COB planned process.</t>
        </is>
      </c>
      <c r="J24" s="33" t="inlineStr">
        <is>
          <t>Evaluate the reduction relative to a stated baseline under comparable conditions. Later: model affected process/system, material input, baseline and comparable output or function.</t>
        </is>
      </c>
      <c r="K24" s="33" t="n"/>
      <c r="L24" s="33" t="inlineStr">
        <is>
          <t>DRAFT EXISTS; NOT IN CURRENT SOURCE</t>
        </is>
      </c>
      <c r="M24" s="33" t="n"/>
      <c r="N24" s="33" t="n"/>
    </row>
    <row r="25" ht="28" customHeight="1">
      <c r="A25" s="33" t="inlineStr">
        <is>
          <t>MKB-000085</t>
        </is>
      </c>
      <c r="B25" s="33" t="inlineStr">
        <is>
          <t>MatSus</t>
        </is>
      </c>
      <c r="C25" s="33" t="inlineStr">
        <is>
          <t>waste or pollution elimination objective specification</t>
        </is>
      </c>
      <c r="D25" s="33" t="inlineStr">
        <is>
          <t>https://w3id.org/pmd/matsus/WasteOrPollutionEliminationObjectiveSpecification</t>
        </is>
      </c>
      <c r="E25" s="33" t="inlineStr">
        <is>
          <t>An objective specification that describes an intended endpoint in which a specified waste or pollution output is absent.</t>
        </is>
      </c>
      <c r="F25" s="33" t="inlineStr">
        <is>
          <t>IAO objective specification (IAO_0000005)</t>
        </is>
      </c>
      <c r="G25" s="33" t="inlineStr">
        <is>
          <t>ACCEPT PROVISIONALLY — objective-specification modelling is correct; pollution still needs an independently scoped target entity/pattern.</t>
        </is>
      </c>
      <c r="H25" s="33" t="inlineStr">
        <is>
          <t>MEDIUM</t>
        </is>
      </c>
      <c r="I25" s="33" t="inlineStr">
        <is>
          <t>WasteOrPollutionEliminationObjectiveSpecification SubClassOf IAO objective specification.</t>
        </is>
      </c>
      <c r="J25" s="33" t="inlineStr">
        <is>
          <t>Later: link to the specified waste/pollution target and boundary; do not mint an undefined generic elimination process.</t>
        </is>
      </c>
      <c r="K25" s="33" t="inlineStr">
        <is>
          <t>https://github.com/materialdigital/core-ontology/issues/485</t>
        </is>
      </c>
      <c r="L25" s="33" t="inlineStr">
        <is>
          <t>DRAFT EXISTS; NOT IN CURRENT SOURCE</t>
        </is>
      </c>
      <c r="M25" s="33" t="n"/>
      <c r="N25" s="33" t="n"/>
    </row>
    <row r="26" ht="28" customHeight="1">
      <c r="A26" s="33" t="inlineStr">
        <is>
          <t>MKB-000184</t>
        </is>
      </c>
      <c r="B26" s="33" t="inlineStr">
        <is>
          <t>MatSus</t>
        </is>
      </c>
      <c r="C26" s="33" t="inlineStr">
        <is>
          <t>refusal process</t>
        </is>
      </c>
      <c r="D26" s="33" t="inlineStr">
        <is>
          <t>https://w3id.org/pmd/matsus/RefusalProcess</t>
        </is>
      </c>
      <c r="E26" s="33" t="inlineStr">
        <is>
          <t>A planned process in which an agent intentionally declines to acquire, accept, or use a specified product, material, or service in order to avoid its associated resource use or waste generation.</t>
        </is>
      </c>
      <c r="F26" s="33" t="inlineStr">
        <is>
          <t>COB planned process (COB_0000082)</t>
        </is>
      </c>
      <c r="G26" s="33" t="inlineStr">
        <is>
          <t>ACCEPT — intentional refusal is appropriately a planned process rather than a bare verb class.</t>
        </is>
      </c>
      <c r="H26" s="33" t="inlineStr">
        <is>
          <t>HIGH</t>
        </is>
      </c>
      <c r="I26" s="33" t="inlineStr">
        <is>
          <t>RefusalProcess SubClassOf COB planned process.</t>
        </is>
      </c>
      <c r="J26" s="33" t="inlineStr">
        <is>
          <t>Later: add agent, refused entity/service and avoidance objective relations.</t>
        </is>
      </c>
      <c r="K26" s="33" t="n"/>
      <c r="L26" s="33" t="inlineStr">
        <is>
          <t>DRAFT EXISTS; NOT IN CURRENT SOURCE</t>
        </is>
      </c>
      <c r="M26" s="33" t="n"/>
      <c r="N26" s="33" t="n"/>
    </row>
    <row r="27" ht="28" customHeight="1">
      <c r="A27" s="33" t="inlineStr">
        <is>
          <t>MKB-000002; MKB-000069</t>
        </is>
      </c>
      <c r="B27" s="33" t="inlineStr">
        <is>
          <t>MatSus</t>
        </is>
      </c>
      <c r="C27" s="33" t="inlineStr">
        <is>
          <t>decoupling</t>
        </is>
      </c>
      <c r="D27" s="33" t="inlineStr">
        <is>
          <t>https://w3id.org/pmd/matsus/Decoupling</t>
        </is>
      </c>
      <c r="E27" s="33" t="inlineStr">
        <is>
          <t>A data item that records a comparative temporal relationship in which an economic or service output and an associated environmental pressure or resource input change at different rates.</t>
        </is>
      </c>
      <c r="F27" s="33" t="inlineStr">
        <is>
          <t>IAO data item (IAO_0000027)</t>
        </is>
      </c>
      <c r="G27" s="33" t="inlineStr">
        <is>
          <t>ACCEPT — the definition makes clear that the class records a comparative relationship; absolute decoupling remains correctly deferred.</t>
        </is>
      </c>
      <c r="H27" s="33" t="inlineStr">
        <is>
          <t>HIGH</t>
        </is>
      </c>
      <c r="I27" s="33" t="inlineStr">
        <is>
          <t>Decoupling SubClassOf IAO data item.</t>
        </is>
      </c>
      <c r="J27" s="33" t="inlineStr">
        <is>
          <t>Later: represent economic/service output, pressure/resource input, baseline, time interval and comparison method.</t>
        </is>
      </c>
      <c r="K27" s="33" t="n"/>
      <c r="L27" s="33" t="inlineStr">
        <is>
          <t>DRAFT EXISTS; NOT IN CURRENT SOURCE</t>
        </is>
      </c>
      <c r="M27" s="33" t="n"/>
      <c r="N27" s="33" t="n"/>
    </row>
    <row r="28" ht="28" customHeight="1">
      <c r="A28" s="33" t="inlineStr">
        <is>
          <t>MKB-000205</t>
        </is>
      </c>
      <c r="B28" s="33" t="inlineStr">
        <is>
          <t>MatSus</t>
        </is>
      </c>
      <c r="C28" s="33" t="inlineStr">
        <is>
          <t>resource efficiency datum</t>
        </is>
      </c>
      <c r="D28" s="33" t="inlineStr">
        <is>
          <t>https://w3id.org/pmd/matsus/ResourceEfficiencyDatum</t>
        </is>
      </c>
      <c r="E28" s="33" t="inlineStr">
        <is>
          <t>A data item that records the useful output, service, or value obtained per stated quantity of resource input under a specified method, boundary, and time interval.</t>
        </is>
      </c>
      <c r="F28" s="33" t="inlineStr">
        <is>
          <t>IAO data item (IAO_0000027)</t>
        </is>
      </c>
      <c r="G28" s="33" t="inlineStr">
        <is>
          <t>ACCEPT — the class is a calculated/result datum, not an intrinsic universal ‘efficiency’.</t>
        </is>
      </c>
      <c r="H28" s="33" t="inlineStr">
        <is>
          <t>HIGH</t>
        </is>
      </c>
      <c r="I28" s="33" t="inlineStr">
        <is>
          <t>ResourceEfficiencyDatum SubClassOf IAO data item.</t>
        </is>
      </c>
      <c r="J28" s="33" t="inlineStr">
        <is>
          <t>Later: represent numerator/output, resource input, method, boundary, unit and time interval.</t>
        </is>
      </c>
      <c r="K28" s="33" t="n"/>
      <c r="L28" s="33" t="inlineStr">
        <is>
          <t>DRAFT EXISTS; NOT IN CURRENT SOURCE</t>
        </is>
      </c>
      <c r="M28" s="33" t="n"/>
      <c r="N28" s="33" t="n"/>
    </row>
    <row r="29" ht="28" customHeight="1">
      <c r="A29" s="33" t="inlineStr">
        <is>
          <t>MKB-000137</t>
        </is>
      </c>
      <c r="B29" s="33" t="inlineStr">
        <is>
          <t>MatSus</t>
        </is>
      </c>
      <c r="C29" s="33" t="inlineStr">
        <is>
          <t>material resource efficiency datum</t>
        </is>
      </c>
      <c r="D29" s="33" t="inlineStr">
        <is>
          <t>https://w3id.org/pmd/matsus/MaterialResourceEfficiencyDatum</t>
        </is>
      </c>
      <c r="E29" s="33" t="inlineStr">
        <is>
          <t>A resource efficiency datum whose stated resource input is a quantity of material.</t>
        </is>
      </c>
      <c r="F29" s="33" t="inlineStr">
        <is>
          <t>MatSus resource efficiency datum</t>
        </is>
      </c>
      <c r="G29" s="33" t="inlineStr">
        <is>
          <t>ACCEPT — clear material-input specialization.</t>
        </is>
      </c>
      <c r="H29" s="33" t="inlineStr">
        <is>
          <t>HIGH</t>
        </is>
      </c>
      <c r="I29" s="33" t="inlineStr">
        <is>
          <t>MaterialResourceEfficiencyDatum SubClassOf ResourceEfficiencyDatum.</t>
        </is>
      </c>
      <c r="J29" s="33" t="inlineStr">
        <is>
          <t>Later: constrain the stated resource input to a material quantity through the instance pattern.</t>
        </is>
      </c>
      <c r="K29" s="33" t="n"/>
      <c r="L29" s="33" t="inlineStr">
        <is>
          <t>DRAFT EXISTS; NOT IN CURRENT SOURCE</t>
        </is>
      </c>
      <c r="M29" s="33" t="n"/>
      <c r="N29" s="33" t="n"/>
    </row>
    <row r="30" ht="28" customHeight="1">
      <c r="A30" s="33" t="inlineStr">
        <is>
          <t>ADD-SCO-012</t>
        </is>
      </c>
      <c r="B30" s="33" t="inlineStr">
        <is>
          <t>MatSus</t>
        </is>
      </c>
      <c r="C30" s="33" t="inlineStr">
        <is>
          <t>metric specification</t>
        </is>
      </c>
      <c r="D30" s="33" t="inlineStr">
        <is>
          <t>https://w3id.org/pmd/matsus/MetricSpecification</t>
        </is>
      </c>
      <c r="E30" s="33" t="inlineStr">
        <is>
          <t>A directive information entity that prescribes the quantities, calculation method, units, boundary, and interpretation used to produce a quantitative indicator datum.</t>
        </is>
      </c>
      <c r="F30" s="33" t="inlineStr">
        <is>
          <t>IAO directive information entity (IAO_0000033)</t>
        </is>
      </c>
      <c r="G30" s="33" t="inlineStr">
        <is>
          <t>ACCEPT — a metric specification prescribes calculation inputs/methods; the resulting metric value remains a data item.</t>
        </is>
      </c>
      <c r="H30" s="33" t="inlineStr">
        <is>
          <t>HIGH</t>
        </is>
      </c>
      <c r="I30" s="33" t="inlineStr">
        <is>
          <t>MetricSpecification SubClassOf IAO directive information entity.</t>
        </is>
      </c>
      <c r="J30" s="33" t="inlineStr">
        <is>
          <t>Later: add prescribed quantities, calculation method, units, boundary and interpretation relations.</t>
        </is>
      </c>
      <c r="K30" s="33" t="n"/>
      <c r="L30" s="33" t="inlineStr">
        <is>
          <t>DRAFT EXISTS; NOT IN CURRENT SOURCE</t>
        </is>
      </c>
      <c r="M30" s="33" t="n"/>
      <c r="N30" s="33" t="n"/>
    </row>
    <row r="31" ht="42" customHeight="1">
      <c r="A31" s="33" t="inlineStr">
        <is>
          <t>MKB-000028</t>
        </is>
      </c>
      <c r="B31" s="33" t="inlineStr">
        <is>
          <t>MatSus</t>
        </is>
      </c>
      <c r="C31" s="33" t="inlineStr">
        <is>
          <t>circular design specification</t>
        </is>
      </c>
      <c r="D31" s="33" t="inlineStr">
        <is>
          <t>https://w3id.org/pmd/matsus/CircularDesignSpecification</t>
        </is>
      </c>
      <c r="E31" s="33" t="inlineStr">
        <is>
          <t>A directive information entity that prescribes a product, component, or material so that circular-economy objectives constrain its lifecycle design.</t>
        </is>
      </c>
      <c r="F31" s="33" t="inlineStr">
        <is>
          <t>IAO directive information entity (IAO_0000033), provisionally</t>
        </is>
      </c>
      <c r="G31" s="33" t="inlineStr">
        <is>
          <t>ACCEPT PROVISIONALLY — usable local specialization, but the current directive-only parent/definition may be too narrow if PMDco issue #488 adopts a descriptive-or-directive specification-document pattern.</t>
        </is>
      </c>
      <c r="H31" s="33" t="inlineStr">
        <is>
          <t>MEDIUM</t>
        </is>
      </c>
      <c r="I31" s="33" t="inlineStr">
        <is>
          <t>For now: CircularDesignSpecification SubClassOf IAO directive information entity.</t>
        </is>
      </c>
      <c r="J31" s="33" t="inlineStr">
        <is>
          <t>After #488: reparent to PMDco DesignSpecification and revise the definition if PMDco adopts the mixed descriptive/directive scope.</t>
        </is>
      </c>
      <c r="K31" s="33" t="inlineStr">
        <is>
          <t>https://github.com/materialdigital/core-ontology/issues/488</t>
        </is>
      </c>
      <c r="L31" s="33" t="inlineStr">
        <is>
          <t>DRAFT EXISTS; NOT IN CURRENT SOURCE</t>
        </is>
      </c>
      <c r="M31" s="33" t="n"/>
      <c r="N31" s="33" t="n"/>
    </row>
    <row r="32" ht="28" customHeight="1">
      <c r="A32" s="33" t="inlineStr">
        <is>
          <t>MKB-000146</t>
        </is>
      </c>
      <c r="B32" s="33" t="inlineStr">
        <is>
          <t>MatSus</t>
        </is>
      </c>
      <c r="C32" s="33" t="inlineStr">
        <is>
          <t>modularity</t>
        </is>
      </c>
      <c r="D32" s="33" t="inlineStr">
        <is>
          <t>https://w3id.org/pmd/matsus/Modularity</t>
        </is>
      </c>
      <c r="E32" s="33" t="inlineStr">
        <is>
          <t>A quality of an entity that reflects the degree to which its parts are organized into separable, replaceable, or recombinable modules.</t>
        </is>
      </c>
      <c r="F32" s="33" t="inlineStr">
        <is>
          <t>BFO quality (BFO_0000019)</t>
        </is>
      </c>
      <c r="G32" s="33" t="inlineStr">
        <is>
          <t>ACCEPT — degree of modular organization is appropriately represented as a quality.</t>
        </is>
      </c>
      <c r="H32" s="33" t="inlineStr">
        <is>
          <t>HIGH</t>
        </is>
      </c>
      <c r="I32" s="33" t="inlineStr">
        <is>
          <t>Modularity SubClassOf BFO quality.</t>
        </is>
      </c>
      <c r="J32" s="33" t="inlineStr">
        <is>
          <t>Later: add bearer and measurement datum/method only when a modularity metric is selected.</t>
        </is>
      </c>
      <c r="K32" s="33" t="n"/>
      <c r="L32" s="33" t="inlineStr">
        <is>
          <t>DRAFT EXISTS; NOT IN CURRENT SOURCE</t>
        </is>
      </c>
      <c r="M32" s="33" t="n"/>
      <c r="N32" s="33" t="n"/>
    </row>
    <row r="33" ht="28" customHeight="1">
      <c r="A33" s="33" t="inlineStr">
        <is>
          <t>MKB-000247 supporting class</t>
        </is>
      </c>
      <c r="B33" s="33" t="inlineStr">
        <is>
          <t>MatSus; later LOG review</t>
        </is>
      </c>
      <c r="C33" s="33" t="inlineStr">
        <is>
          <t>material flow process</t>
        </is>
      </c>
      <c r="D33" s="33" t="inlineStr">
        <is>
          <t>https://w3id.org/pmd/matsus/MaterialFlowProcess</t>
        </is>
      </c>
      <c r="E33" s="33" t="inlineStr">
        <is>
          <t>A process during which material entities move between locations, agents, lifecycle stages, or transformation processes.</t>
        </is>
      </c>
      <c r="F33" s="33" t="inlineStr">
        <is>
          <t>BFO process (BFO_0000015)</t>
        </is>
      </c>
      <c r="G33" s="33" t="inlineStr">
        <is>
          <t>ACCEPT PROVISIONALLY — generic process parent is safe, but LOG alignment should be revisited before strengthening the hierarchy.</t>
        </is>
      </c>
      <c r="H33" s="33" t="inlineStr">
        <is>
          <t>MEDIUM</t>
        </is>
      </c>
      <c r="I33" s="33" t="inlineStr">
        <is>
          <t>MaterialFlowProcess SubClassOf BFO process.</t>
        </is>
      </c>
      <c r="J33" s="33" t="inlineStr">
        <is>
          <t>Later: represent source/destination location or agent, moving material and relation to transport/transformation processes.</t>
        </is>
      </c>
      <c r="K33" s="33" t="inlineStr">
        <is>
          <t>LOG review later</t>
        </is>
      </c>
      <c r="L33" s="33" t="inlineStr">
        <is>
          <t>DRAFT EXISTS; NOT IN CURRENT SOURCE</t>
        </is>
      </c>
      <c r="M33" s="33" t="n"/>
      <c r="N33" s="33" t="n"/>
    </row>
    <row r="34" ht="28" customHeight="1">
      <c r="A34" s="33" t="inlineStr">
        <is>
          <t>MKB-000247</t>
        </is>
      </c>
      <c r="B34" s="33" t="inlineStr">
        <is>
          <t>MatSus; later LOG review</t>
        </is>
      </c>
      <c r="C34" s="33" t="inlineStr">
        <is>
          <t>textile material flow process</t>
        </is>
      </c>
      <c r="D34" s="33" t="inlineStr">
        <is>
          <t>https://w3id.org/pmd/matsus/TextileMaterialFlowProcess</t>
        </is>
      </c>
      <c r="E34" s="33" t="inlineStr">
        <is>
          <t>A material flow process whose primary moving material entities are textile materials or textile products.</t>
        </is>
      </c>
      <c r="F34" s="33" t="inlineStr">
        <is>
          <t>MatSus material flow process</t>
        </is>
      </c>
      <c r="G34" s="33" t="inlineStr">
        <is>
          <t>ACCEPT PROVISIONALLY — correct material-specific specialization of the provisional flow process.</t>
        </is>
      </c>
      <c r="H34" s="33" t="inlineStr">
        <is>
          <t>MEDIUM</t>
        </is>
      </c>
      <c r="I34" s="33" t="inlineStr">
        <is>
          <t>TextileMaterialFlowProcess SubClassOf MaterialFlowProcess.</t>
        </is>
      </c>
      <c r="J34" s="33" t="inlineStr">
        <is>
          <t>Later: add textile participant constraints only after the generic material-flow/LOG pattern is settled.</t>
        </is>
      </c>
      <c r="K34" s="33" t="inlineStr">
        <is>
          <t>LOG review later</t>
        </is>
      </c>
      <c r="L34" s="33" t="inlineStr">
        <is>
          <t>DRAFT EXISTS; NOT IN CURRENT SOURCE</t>
        </is>
      </c>
      <c r="M34" s="33" t="n"/>
      <c r="N34" s="33" t="n"/>
    </row>
    <row r="35" ht="92" customHeight="1">
      <c r="A35" s="33" t="inlineStr">
        <is>
          <t>MKB-000150</t>
        </is>
      </c>
      <c r="B35" s="33" t="inlineStr">
        <is>
          <t>MatSus</t>
        </is>
      </c>
      <c r="C35" s="33" t="inlineStr">
        <is>
          <t>virgin material</t>
        </is>
      </c>
      <c r="D35" s="33" t="inlineStr">
        <is>
          <t>https://w3id.org/pmd/matsus/VirginMaterial</t>
        </is>
      </c>
      <c r="E35" s="33" t="inlineStr">
        <is>
          <t>A material produced entirely from primary raw materials and containing no recovered or recycled material.</t>
        </is>
      </c>
      <c r="F35" s="33" t="inlineStr">
        <is>
          <t>PMDco material (PMD_0000000)</t>
        </is>
      </c>
      <c r="G35" s="33" t="inlineStr">
        <is>
          <t>ACCEPT — a positive provenance/composition class is preferable to modelling non-virgin material as its logical complement.</t>
        </is>
      </c>
      <c r="H35" s="33" t="inlineStr">
        <is>
          <t>HIGH</t>
        </is>
      </c>
      <c r="I35" s="33" t="inlineStr">
        <is>
          <t>VirginMaterial SubClassOf PMDco material.</t>
        </is>
      </c>
      <c r="J35" s="33" t="inlineStr">
        <is>
          <t>Later: use positive recycled/recovered-content assertions and a composition pattern; no complement axiom.</t>
        </is>
      </c>
      <c r="K35" s="33" t="n"/>
      <c r="L35" s="33" t="inlineStr">
        <is>
          <t>DRAFT EXISTS; NOT IN CURRENT SOURCE</t>
        </is>
      </c>
      <c r="M35" s="33" t="n"/>
      <c r="N35" s="33" t="inlineStr">
        <is>
          <t>‘Non-virgin material’ is an informal umbrella covering recovered material, recycled material, secondary material, and materials containing some proportion of such content. It is not modelled as the OWL complement of virgin material because mixed content is common and absence of virgin status cannot be inferred under the open-world assumption.</t>
        </is>
      </c>
    </row>
    <row r="36" ht="42" customHeight="1">
      <c r="A36" s="33" t="inlineStr">
        <is>
          <t>MKB-000016</t>
        </is>
      </c>
      <c r="B36" s="33" t="inlineStr">
        <is>
          <t>MatSus provisional; PMDco candidate</t>
        </is>
      </c>
      <c r="C36" s="33" t="inlineStr">
        <is>
          <t>feedstock role</t>
        </is>
      </c>
      <c r="D36" s="33" t="inlineStr">
        <is>
          <t>https://w3id.org/pmd/matsus/FeedstockRole</t>
        </is>
      </c>
      <c r="E36" s="33" t="inlineStr">
        <is>
          <t>A material resource role borne by a material entity when that entity is intended to be consumed, transformed, or incorporated as an input in a manufacturing, recycling, or material-processing process.</t>
        </is>
      </c>
      <c r="F36" s="33" t="inlineStr">
        <is>
          <t>LOG material resource role (LOG_1000106)</t>
        </is>
      </c>
      <c r="G36" s="33" t="inlineStr">
        <is>
          <t>ACCEPT PROVISIONALLY — role modelling is correct and the LOG parent is reasonable; PMDco issue #486 may provide the upstream class and require reconciliation.</t>
        </is>
      </c>
      <c r="H36" s="33" t="inlineStr">
        <is>
          <t>HIGH</t>
        </is>
      </c>
      <c r="I36" s="33" t="inlineStr">
        <is>
          <t>For now: FeedstockRole SubClassOf LOG material resource role.</t>
        </is>
      </c>
      <c r="J36" s="33" t="inlineStr">
        <is>
          <t>Later: add bearer/realized-in/process-input relations only after the PMDco/LOG placement decision.</t>
        </is>
      </c>
      <c r="K36" s="33" t="inlineStr">
        <is>
          <t>https://github.com/materialdigital/core-ontology/issues/486</t>
        </is>
      </c>
      <c r="L36" s="33" t="inlineStr">
        <is>
          <t>DRAFT EXISTS; NOT IN CURRENT SOURCE</t>
        </is>
      </c>
      <c r="M36" s="33" t="n"/>
      <c r="N36" s="33" t="n"/>
    </row>
    <row r="37" ht="42" customHeight="1">
      <c r="A37" s="33" t="inlineStr">
        <is>
          <t>MKB-000059</t>
        </is>
      </c>
      <c r="B37" s="33" t="inlineStr">
        <is>
          <t>MatSus</t>
        </is>
      </c>
      <c r="C37" s="33" t="inlineStr">
        <is>
          <t>collection system</t>
        </is>
      </c>
      <c r="D37" s="33" t="inlineStr">
        <is>
          <t>https://w3id.org/pmd/matsus/CollectionSystem</t>
        </is>
      </c>
      <c r="E37" s="33" t="inlineStr">
        <is>
          <t>An object aggregate whose members are organized to enable one or more collection processes.</t>
        </is>
      </c>
      <c r="F37" s="33" t="inlineStr">
        <is>
          <t>BFO object aggregate (BFO_0000027)</t>
        </is>
      </c>
      <c r="G37" s="33" t="inlineStr">
        <is>
          <t>ACCEPT PROVISIONALLY — appropriate if the intended system is a material aggregate; hierarchy should be revisited when member, agent, function or realized-process queries become central.</t>
        </is>
      </c>
      <c r="H37" s="33" t="inlineStr">
        <is>
          <t>MEDIUM</t>
        </is>
      </c>
      <c r="I37" s="33" t="inlineStr">
        <is>
          <t>For now: CollectionSystem SubClassOf BFO object aggregate.</t>
        </is>
      </c>
      <c r="J37" s="33" t="inlineStr">
        <is>
          <t>Later: model members/components, enabling function, responsible agent and collection processes; do not introduce a universal System class.</t>
        </is>
      </c>
      <c r="K37" s="33" t="n"/>
      <c r="L37" s="33" t="inlineStr">
        <is>
          <t>DRAFT EXISTS; NOT IN CURRENT SOURCE</t>
        </is>
      </c>
      <c r="M37" s="33" t="n"/>
      <c r="N37" s="33" t="n"/>
    </row>
    <row r="38" ht="42" customHeight="1">
      <c r="A38" s="33" t="inlineStr">
        <is>
          <t>MKB-000168</t>
        </is>
      </c>
      <c r="B38" s="33" t="inlineStr">
        <is>
          <t>PMDco</t>
        </is>
      </c>
      <c r="C38" s="33" t="inlineStr">
        <is>
          <t>product specification</t>
        </is>
      </c>
      <c r="D38" s="33" t="inlineStr">
        <is>
          <t>PMDco IRI pending</t>
        </is>
      </c>
      <c r="E38" s="33" t="inlineStr">
        <is>
          <t>A specification document that communicates descriptive or directive information about the composition, structure, configuration, characteristics, performance, requirements, or constraints of a product.</t>
        </is>
      </c>
      <c r="F38" s="33" t="inlineStr">
        <is>
          <t>PMDco specification document (proposed)</t>
        </is>
      </c>
      <c r="G38" s="33" t="inlineStr">
        <is>
          <t>EXTERNAL PROPOSAL ACCEPTED — definition and proposed parent are coherent; await PMDco issue #487. Do not mint a MatSus duplicate.</t>
        </is>
      </c>
      <c r="H38" s="33" t="inlineStr">
        <is>
          <t>HIGH</t>
        </is>
      </c>
      <c r="I38" s="33" t="inlineStr">
        <is>
          <t>No MatSus axiom. Proposed PMDco subclass of specification document.</t>
        </is>
      </c>
      <c r="J38" s="33" t="inlineStr">
        <is>
          <t>PMDco decides final IRI, scope and relation to device/material specification.</t>
        </is>
      </c>
      <c r="K38" s="33" t="inlineStr">
        <is>
          <t>https://github.com/materialdigital/core-ontology/issues/487</t>
        </is>
      </c>
      <c r="L38" s="33" t="inlineStr">
        <is>
          <t>ISSUE_SUBMITTED</t>
        </is>
      </c>
      <c r="M38" s="33" t="n"/>
      <c r="N38" s="33" t="n"/>
    </row>
    <row r="39" ht="42" customHeight="1">
      <c r="A39" s="33" t="inlineStr">
        <is>
          <t>MKB-000028 external generic anchor</t>
        </is>
      </c>
      <c r="B39" s="33" t="inlineStr">
        <is>
          <t>PMDco</t>
        </is>
      </c>
      <c r="C39" s="33" t="inlineStr">
        <is>
          <t>design specification</t>
        </is>
      </c>
      <c r="D39" s="33" t="inlineStr">
        <is>
          <t>PMDco IRI pending</t>
        </is>
      </c>
      <c r="E39" s="33" t="inlineStr">
        <is>
          <t>A specification document that communicates descriptive or directive information about the characteristics, structure, configuration, principles, requirements, or constraints of an intentionally created entity.</t>
        </is>
      </c>
      <c r="F39" s="33" t="inlineStr">
        <is>
          <t>PMDco specification document (proposed)</t>
        </is>
      </c>
      <c r="G39" s="33" t="inlineStr">
        <is>
          <t>EXTERNAL PROPOSAL ACCEPTED — mixed descriptive/directive scope addresses the limitation of a directive-only parent; await PMDco issue #488.</t>
        </is>
      </c>
      <c r="H39" s="33" t="inlineStr">
        <is>
          <t>HIGH</t>
        </is>
      </c>
      <c r="I39" s="33" t="inlineStr">
        <is>
          <t>No additional MatSus axiom now. Proposed PMDco subclass of specification document.</t>
        </is>
      </c>
      <c r="J39" s="33" t="inlineStr">
        <is>
          <t>If accepted, reparent the MatSus circular design specialization to this PMDco class.</t>
        </is>
      </c>
      <c r="K39" s="33" t="inlineStr">
        <is>
          <t>https://github.com/materialdigital/core-ontology/issues/488</t>
        </is>
      </c>
      <c r="L39" s="33" t="inlineStr">
        <is>
          <t>ISSUE_SUBMITTED</t>
        </is>
      </c>
      <c r="M39" s="33" t="n"/>
      <c r="N39" s="33" t="n"/>
    </row>
    <row r="40" ht="28" customHeight="1">
      <c r="A40" s="33" t="inlineStr">
        <is>
          <t>MKB-000217</t>
        </is>
      </c>
      <c r="B40" s="33" t="inlineStr">
        <is>
          <t>LOG</t>
        </is>
      </c>
      <c r="C40" s="33" t="inlineStr">
        <is>
          <t>reverse logistics process</t>
        </is>
      </c>
      <c r="D40" s="33" t="inlineStr">
        <is>
          <t>LOG IRI pending</t>
        </is>
      </c>
      <c r="E40" s="33" t="inlineStr">
        <is>
          <t>No final definition approved yet; formulate it in the future LOG issue using return-flow/take-back examples.</t>
        </is>
      </c>
      <c r="F40" s="33" t="inlineStr">
        <is>
          <t>LOG logistics process (LOG_1000120)</t>
        </is>
      </c>
      <c r="G40" s="33" t="inlineStr">
        <is>
          <t>EXTERNAL PARENT ACCEPTED; DEFINITION DEFERRED — the corrected concept is reverse logistics process, but the final wording belongs in the LOG issue.</t>
        </is>
      </c>
      <c r="H40" s="33" t="inlineStr">
        <is>
          <t>MEDIUM</t>
        </is>
      </c>
      <c r="I40" s="33" t="inlineStr">
        <is>
          <t>No MatSus axiom and no local duplicate. Proposed LOG subclass of logistics process.</t>
        </is>
      </c>
      <c r="J40" s="33" t="inlineStr">
        <is>
          <t>Later: define the reverse/return-flow criterion and scope using take-back, return, recovery and upstream-flow examples.</t>
        </is>
      </c>
      <c r="K40" s="33" t="inlineStr">
        <is>
          <t>LOG issue pending</t>
        </is>
      </c>
      <c r="L40" s="33" t="inlineStr">
        <is>
          <t>LOG_ISSUE_PENDING</t>
        </is>
      </c>
      <c r="M40" s="33" t="n"/>
      <c r="N40" s="33" t="n"/>
    </row>
    <row r="41" ht="92" customHeight="1">
      <c r="A41" s="33" t="inlineStr">
        <is>
          <t>MKB-000175 supporting anchor</t>
        </is>
      </c>
      <c r="B41" s="33" t="inlineStr">
        <is>
          <t>MatSus</t>
        </is>
      </c>
      <c r="C41" s="33" t="inlineStr">
        <is>
          <t>recovered material</t>
        </is>
      </c>
      <c r="D41" s="33" t="inlineStr">
        <is>
          <t>https://w3id.org/pmd/matsus/RecoveredMaterial</t>
        </is>
      </c>
      <c r="E41" s="33" t="inlineStr">
        <is>
          <t>A material obtained through a material-recovery process from material that had been discarded, become waste, or left its preceding use, and that is made available for further use.</t>
        </is>
      </c>
      <c r="F41" s="33" t="inlineStr">
        <is>
          <t>PMDco material (PMD_0000000)</t>
        </is>
      </c>
      <c r="G41" s="33" t="inlineStr">
        <is>
          <t>ACCEPT — material-recovery provenance is represented separately from the contextual waste role; recovered material is not a subclass of waste material.</t>
        </is>
      </c>
      <c r="H41" s="33" t="inlineStr">
        <is>
          <t>HIGH</t>
        </is>
      </c>
      <c r="I41" s="33" t="inlineStr">
        <is>
          <t>RecoveredMaterial SubClassOf PMDco material.</t>
        </is>
      </c>
      <c r="J41" s="33" t="inlineStr">
        <is>
          <t>Later: link the material to its recovery process/history. Do not add disjointness or a complement axiom.</t>
        </is>
      </c>
      <c r="K41" s="33" t="n"/>
      <c r="L41" s="33" t="inlineStr">
        <is>
          <t>DRAFT READY; NOT IN CURRENT SOURCE</t>
        </is>
      </c>
      <c r="M41" s="33" t="inlineStr">
        <is>
          <t>Human accepted this class after the MKB1 human gate; add it to the IR2 implementation package.</t>
        </is>
      </c>
      <c r="N41" s="33" t="inlineStr">
        <is>
          <t>Post-gate accepted material anchor. A material can cease to bear a waste role while retaining its recovery provenance.</t>
        </is>
      </c>
    </row>
    <row r="42" ht="92" customHeight="1">
      <c r="A42" s="33" t="inlineStr">
        <is>
          <t>MKB-000175</t>
        </is>
      </c>
      <c r="B42" s="33" t="inlineStr">
        <is>
          <t>MatSus</t>
        </is>
      </c>
      <c r="C42" s="33" t="inlineStr">
        <is>
          <t>recycled material</t>
        </is>
      </c>
      <c r="D42" s="33" t="inlineStr">
        <is>
          <t>https://w3id.org/pmd/matsus/RecycledMaterial</t>
        </is>
      </c>
      <c r="E42" s="33" t="inlineStr">
        <is>
          <t>A recovered material produced through a recycling process in which waste material is reprocessed into a product, material, or substance for its original or another purpose.</t>
        </is>
      </c>
      <c r="F42" s="33" t="inlineStr">
        <is>
          <t>MatSus recovered material</t>
        </is>
      </c>
      <c r="G42" s="33" t="inlineStr">
        <is>
          <t>ACCEPT — process-history specialization of recovered material; it may overlap with secondary material.</t>
        </is>
      </c>
      <c r="H42" s="33" t="inlineStr">
        <is>
          <t>HIGH</t>
        </is>
      </c>
      <c r="I42" s="33" t="inlineStr">
        <is>
          <t>RecycledMaterial SubClassOf RecoveredMaterial.</t>
        </is>
      </c>
      <c r="J42" s="33" t="inlineStr">
        <is>
          <t>Later: link to the recycling process/history. Do not assert disjointness from SecondaryMaterial.</t>
        </is>
      </c>
      <c r="K42" s="33" t="inlineStr">
        <is>
          <t>RecoveredMaterial</t>
        </is>
      </c>
      <c r="L42" s="33" t="inlineStr">
        <is>
          <t>DRAFT READY; NOT IN CURRENT SOURCE</t>
        </is>
      </c>
      <c r="M42" s="33" t="inlineStr">
        <is>
          <t>Human accepted this class after the MKB1 human gate; add it to the IR2 implementation package.</t>
        </is>
      </c>
      <c r="N42" s="33" t="inlineStr">
        <is>
          <t>Post-gate accepted. RecycledMaterial and SecondaryMaterial are not exclusive categories.</t>
        </is>
      </c>
    </row>
    <row r="43" ht="92" customHeight="1">
      <c r="A43" s="33" t="inlineStr">
        <is>
          <t>MKB-000223</t>
        </is>
      </c>
      <c r="B43" s="33" t="inlineStr">
        <is>
          <t>MatSus</t>
        </is>
      </c>
      <c r="C43" s="33" t="inlineStr">
        <is>
          <t>secondary material</t>
        </is>
      </c>
      <c r="D43" s="33" t="inlineStr">
        <is>
          <t>https://w3id.org/pmd/matsus/SecondaryMaterial</t>
        </is>
      </c>
      <c r="E43" s="33" t="inlineStr">
        <is>
          <t>A recovered material suitable for use in manufacturing or material processing instead of or alongside virgin material.</t>
        </is>
      </c>
      <c r="F43" s="33" t="inlineStr">
        <is>
          <t>MatSus recovered material</t>
        </is>
      </c>
      <c r="G43" s="33" t="inlineStr">
        <is>
          <t>ACCEPT — use/status specialization; sibling of recycled material and allowed to overlap it.</t>
        </is>
      </c>
      <c r="H43" s="33" t="inlineStr">
        <is>
          <t>HIGH</t>
        </is>
      </c>
      <c r="I43" s="33" t="inlineStr">
        <is>
          <t>SecondaryMaterial SubClassOf RecoveredMaterial.</t>
        </is>
      </c>
      <c r="J43" s="33" t="inlineStr">
        <is>
          <t>Later: represent suitability or intended use only when a stable relation pattern is selected. Do not assert disjointness from RecycledMaterial.</t>
        </is>
      </c>
      <c r="K43" s="33" t="inlineStr">
        <is>
          <t>RecoveredMaterial</t>
        </is>
      </c>
      <c r="L43" s="33" t="inlineStr">
        <is>
          <t>DRAFT READY; NOT IN CURRENT SOURCE</t>
        </is>
      </c>
      <c r="M43" s="33" t="inlineStr">
        <is>
          <t>Human accepted this class after the MKB1 human gate; add it to the IR2 implementation package.</t>
        </is>
      </c>
      <c r="N43" s="33" t="inlineStr">
        <is>
          <t>Post-gate accepted as a positive material category rather than a complement of VirginMaterial.</t>
        </is>
      </c>
    </row>
    <row r="44" ht="92" customHeight="1">
      <c r="A44" s="33" t="inlineStr">
        <is>
          <t>MKB-000180 supporting anchor</t>
        </is>
      </c>
      <c r="B44" s="33" t="inlineStr">
        <is>
          <t>MatSus</t>
        </is>
      </c>
      <c r="C44" s="33" t="inlineStr">
        <is>
          <t>material sustainability assessment</t>
        </is>
      </c>
      <c r="D44" s="33" t="inlineStr">
        <is>
          <t>https://w3id.org/pmd/matsus/MaterialSustainabilityAssessment</t>
        </is>
      </c>
      <c r="E44" s="33" t="inlineStr">
        <is>
          <t>An assay intended to produce information for evaluating one or more sustainability-related aspects of a material, product, process, or material lifecycle system.</t>
        </is>
      </c>
      <c r="F44" s="33" t="inlineStr">
        <is>
          <t>OBI assay (OBI_0000070)</t>
        </is>
      </c>
      <c r="G44" s="33" t="inlineStr">
        <is>
          <t>ACCEPT PROVISIONALLY — a thin MatSus assessment umbrella is justified, but it must be reconciled with the dedicated assessment batch.</t>
        </is>
      </c>
      <c r="H44" s="33" t="inlineStr">
        <is>
          <t>MEDIUM</t>
        </is>
      </c>
      <c r="I44" s="33" t="inlineStr">
        <is>
          <t>MaterialSustainabilityAssessment SubClassOf OBI assay.</t>
        </is>
      </c>
      <c r="J44" s="33" t="inlineStr">
        <is>
          <t>Later: reconcile with SRC-007, SRC-009 and CLEO during Batch 2; add no further logical restrictions now.</t>
        </is>
      </c>
      <c r="K44" s="33" t="inlineStr">
        <is>
          <t>SRC-007 / SRC-009 / CLEO — Batch 2 reconciliation</t>
        </is>
      </c>
      <c r="L44" s="33" t="inlineStr">
        <is>
          <t>PROVISIONAL DRAFT READY; NOT IN CURRENT SOURCE</t>
        </is>
      </c>
      <c r="M44" s="33" t="inlineStr">
        <is>
          <t>Human accepted this class after the MKB1 human gate; add it to the IR2 implementation package.</t>
        </is>
      </c>
      <c r="N44" s="33" t="inlineStr">
        <is>
          <t>Post-gate accepted provisionally as the parent needed for resource-input reduction assessment.</t>
        </is>
      </c>
    </row>
    <row r="45" ht="92" customHeight="1">
      <c r="A45" s="33" t="inlineStr">
        <is>
          <t>MKB-000180 supporting class</t>
        </is>
      </c>
      <c r="B45" s="33" t="inlineStr">
        <is>
          <t>MatSus</t>
        </is>
      </c>
      <c r="C45" s="33" t="inlineStr">
        <is>
          <t>resource-input reduction assessment</t>
        </is>
      </c>
      <c r="D45" s="33" t="inlineStr">
        <is>
          <t>https://w3id.org/pmd/matsus/ResourceInputReductionAssessment</t>
        </is>
      </c>
      <c r="E45" s="33" t="inlineStr">
        <is>
          <t>A material sustainability assessment intended to determine or quantify whether, and to what extent, material input has been reduced relative to a stated baseline under specified comparison conditions.</t>
        </is>
      </c>
      <c r="F45" s="33" t="inlineStr">
        <is>
          <t>MatSus material sustainability assessment</t>
        </is>
      </c>
      <c r="G45" s="33" t="inlineStr">
        <is>
          <t>ACCEPT — this is the evidential assessment counterpart of the reduction process and objective specification.</t>
        </is>
      </c>
      <c r="H45" s="33" t="inlineStr">
        <is>
          <t>HIGH</t>
        </is>
      </c>
      <c r="I45" s="33" t="inlineStr">
        <is>
          <t>ResourceInputReductionAssessment SubClassOf MaterialSustainabilityAssessment.</t>
        </is>
      </c>
      <c r="J45" s="33" t="inlineStr">
        <is>
          <t>Later: model the evaluated process or system, baseline, comparison conditions and output datum.</t>
        </is>
      </c>
      <c r="K45" s="33" t="inlineStr">
        <is>
          <t>MaterialSustainabilityAssessment</t>
        </is>
      </c>
      <c r="L45" s="33" t="inlineStr">
        <is>
          <t>DRAFT READY; NOT IN CURRENT SOURCE</t>
        </is>
      </c>
      <c r="M45" s="33" t="inlineStr">
        <is>
          <t>Human accepted this class after the MKB1 human gate; add it to the IR2 implementation package.</t>
        </is>
      </c>
      <c r="N45" s="33" t="inlineStr">
        <is>
          <t>Post-gate accepted. Keep assessment distinct from the process and its objective specification.</t>
        </is>
      </c>
    </row>
    <row r="46" ht="92" customHeight="1">
      <c r="A46" s="33" t="inlineStr">
        <is>
          <t>MKB-000180 supporting class</t>
        </is>
      </c>
      <c r="B46" s="33" t="inlineStr">
        <is>
          <t>MatSus</t>
        </is>
      </c>
      <c r="C46" s="33" t="inlineStr">
        <is>
          <t>resource-input reduction objective specification</t>
        </is>
      </c>
      <c r="D46" s="33" t="inlineStr">
        <is>
          <t>https://w3id.org/pmd/matsus/ResourceInputReductionObjectiveSpecification</t>
        </is>
      </c>
      <c r="E46" s="33" t="inlineStr">
        <is>
          <t>An objective specification that specifies an intended reduction, relative to a stated baseline and under specified comparison conditions, in the quantity of material input required or used by a specified process or system.</t>
        </is>
      </c>
      <c r="F46" s="33" t="inlineStr">
        <is>
          <t>IAO objective specification (IAO_0000005)</t>
        </is>
      </c>
      <c r="G46" s="33" t="inlineStr">
        <is>
          <t>ACCEPT — this represents the intended reduction target; no separate resource-input reduction strategy specification is required.</t>
        </is>
      </c>
      <c r="H46" s="33" t="inlineStr">
        <is>
          <t>HIGH</t>
        </is>
      </c>
      <c r="I46" s="33" t="inlineStr">
        <is>
          <t>ResourceInputReductionObjectiveSpecification SubClassOf IAO objective specification.</t>
        </is>
      </c>
      <c r="J46" s="33" t="inlineStr">
        <is>
          <t>Later: relate it to the targeted process or system, baseline, reduction amount and unit.</t>
        </is>
      </c>
      <c r="K46" s="33" t="n"/>
      <c r="L46" s="33" t="inlineStr">
        <is>
          <t>DRAFT READY; NOT IN CURRENT SOURCE</t>
        </is>
      </c>
      <c r="M46" s="33" t="inlineStr">
        <is>
          <t>Human accepted this class after the MKB1 human gate; add it to the IR2 implementation package.</t>
        </is>
      </c>
      <c r="N46" s="33" t="inlineStr">
        <is>
          <t>Example: reduce virgin aluminium input by 20% relative to the 2025 baseline.</t>
        </is>
      </c>
    </row>
  </sheetData>
  <conditionalFormatting sqref="G2:G40">
    <cfRule type="containsText" priority="1" operator="containsText" dxfId="2" text="REVISE"/>
    <cfRule type="containsText" priority="2" operator="containsText" dxfId="1" text="PROVISIONALLY"/>
    <cfRule type="containsText" priority="3" operator="containsText" dxfId="0" text="ACCEPT"/>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6"/>
  <sheetViews>
    <sheetView showGridLines="0" workbookViewId="0">
      <selection activeCell="A1" sqref="A1"/>
    </sheetView>
  </sheetViews>
  <sheetFormatPr baseColWidth="8" defaultRowHeight="14"/>
  <cols>
    <col width="14" customWidth="1" min="1" max="1"/>
    <col width="34" customWidth="1" min="2" max="2"/>
    <col width="16" customWidth="1" min="3" max="3"/>
    <col width="28" customWidth="1" min="4" max="4"/>
    <col width="72" customWidth="1" min="5" max="5"/>
  </cols>
  <sheetData>
    <row r="1">
      <c r="A1" s="1" t="inlineStr">
        <is>
          <t>Issue</t>
        </is>
      </c>
      <c r="B1" s="1" t="inlineStr">
        <is>
          <t>Concept</t>
        </is>
      </c>
      <c r="C1" s="1" t="inlineStr">
        <is>
          <t>Target</t>
        </is>
      </c>
      <c r="D1" s="1" t="inlineStr">
        <is>
          <t>Status</t>
        </is>
      </c>
      <c r="E1" s="1" t="inlineStr">
        <is>
          <t>URL / note</t>
        </is>
      </c>
    </row>
    <row r="2">
      <c r="A2" s="24" t="inlineStr">
        <is>
          <t>#485</t>
        </is>
      </c>
      <c r="B2" s="24" t="inlineStr">
        <is>
          <t>waste role + waste material</t>
        </is>
      </c>
      <c r="C2" s="24" t="inlineStr">
        <is>
          <t>PMDco</t>
        </is>
      </c>
      <c r="D2" s="24" t="inlineStr">
        <is>
          <t>ISSUE_SUBMITTED</t>
        </is>
      </c>
      <c r="E2" s="24" t="inlineStr">
        <is>
          <t>https://github.com/materialdigital/core-ontology/issues/485</t>
        </is>
      </c>
    </row>
    <row r="3">
      <c r="A3" s="24" t="inlineStr">
        <is>
          <t>#486</t>
        </is>
      </c>
      <c r="B3" s="24" t="inlineStr">
        <is>
          <t>feedstock role</t>
        </is>
      </c>
      <c r="C3" s="24" t="inlineStr">
        <is>
          <t>PMDco</t>
        </is>
      </c>
      <c r="D3" s="24" t="inlineStr">
        <is>
          <t>ISSUE_SUBMITTED</t>
        </is>
      </c>
      <c r="E3" s="24" t="inlineStr">
        <is>
          <t>https://github.com/materialdigital/core-ontology/issues/486</t>
        </is>
      </c>
    </row>
    <row r="4">
      <c r="A4" s="24" t="inlineStr">
        <is>
          <t>#487</t>
        </is>
      </c>
      <c r="B4" s="24" t="inlineStr">
        <is>
          <t>product specification</t>
        </is>
      </c>
      <c r="C4" s="24" t="inlineStr">
        <is>
          <t>PMDco</t>
        </is>
      </c>
      <c r="D4" s="24" t="inlineStr">
        <is>
          <t>ISSUE_SUBMITTED</t>
        </is>
      </c>
      <c r="E4" s="24" t="inlineStr">
        <is>
          <t>https://github.com/materialdigital/core-ontology/issues/487</t>
        </is>
      </c>
    </row>
    <row r="5">
      <c r="A5" s="24" t="inlineStr">
        <is>
          <t>#488</t>
        </is>
      </c>
      <c r="B5" s="24" t="inlineStr">
        <is>
          <t>design specification</t>
        </is>
      </c>
      <c r="C5" s="24" t="inlineStr">
        <is>
          <t>PMDco</t>
        </is>
      </c>
      <c r="D5" s="24" t="inlineStr">
        <is>
          <t>ISSUE_SUBMITTED</t>
        </is>
      </c>
      <c r="E5" s="24" t="inlineStr">
        <is>
          <t>https://github.com/materialdigital/core-ontology/issues/488</t>
        </is>
      </c>
    </row>
    <row r="6">
      <c r="A6" s="24" t="inlineStr">
        <is>
          <t>Pending</t>
        </is>
      </c>
      <c r="B6" s="24" t="inlineStr">
        <is>
          <t>reverse logistics process</t>
        </is>
      </c>
      <c r="C6" s="24" t="inlineStr">
        <is>
          <t>LOG</t>
        </is>
      </c>
      <c r="D6" s="24" t="inlineStr">
        <is>
          <t>LOG_ISSUE_PENDING</t>
        </is>
      </c>
      <c r="E6" s="24" t="inlineStr">
        <is>
          <t>Contribution route and issue URL still to be determined</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2026-09-01T12:55:49Z</dcterms:created>
  <dcterms:modified xsi:type="dcterms:W3CDTF">2026-09-01T12:55:50Z</dcterms:modified>
</cp:coreProperties>
</file>