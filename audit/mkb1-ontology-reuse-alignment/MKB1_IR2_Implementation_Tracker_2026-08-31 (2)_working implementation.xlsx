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IR2 Tracker" sheetId="2" state="visible" r:id="rId2"/>
    <sheet name="Class Review" sheetId="3" state="visible" r:id="rId3"/>
    <sheet name="Handoffs" sheetId="4" state="visible" r:id="rId4"/>
  </sheets>
  <definedNames/>
</workbook>
</file>

<file path=xl/styles.xml><?xml version="1.0" encoding="utf-8"?>
<styleSheet xmlns="http://schemas.openxmlformats.org/spreadsheetml/2006/main">
  <numFmts count="0"/>
  <fonts count="8">
    <font>
      <name val="Carlito"/>
      <sz val="11"/>
    </font>
    <font>
      <name val="Carlito"/>
      <b val="1"/>
      <color rgb="FFFFFFFF"/>
      <sz val="11"/>
    </font>
    <font>
      <name val="Carlito"/>
      <b val="1"/>
      <color rgb="FF17365D"/>
      <sz val="11"/>
    </font>
    <font>
      <name val="Carlito"/>
      <b val="1"/>
      <color rgb="FF7F6000"/>
      <sz val="11"/>
    </font>
    <font>
      <name val="Carlito"/>
      <b val="1"/>
      <color rgb="FF375623"/>
      <sz val="11"/>
    </font>
    <font>
      <name val="Carlito"/>
      <sz val="8"/>
    </font>
    <font>
      <name val="Aptos"/>
      <color rgb="FF172033"/>
      <sz val="9"/>
    </font>
    <font>
      <name val="Aptos Display"/>
      <b val="1"/>
      <color rgb="FFFFFFFF"/>
      <sz val="10"/>
    </font>
  </fonts>
  <fills count="7">
    <fill>
      <patternFill/>
    </fill>
    <fill>
      <patternFill patternType="gray125"/>
    </fill>
    <fill>
      <patternFill patternType="solid">
        <fgColor rgb="FF17365D"/>
      </patternFill>
    </fill>
    <fill>
      <patternFill patternType="solid">
        <fgColor rgb="FFD9EAF7"/>
      </patternFill>
    </fill>
    <fill>
      <patternFill patternType="solid">
        <fgColor rgb="FFFFF2CC"/>
      </patternFill>
    </fill>
    <fill>
      <patternFill patternType="solid">
        <fgColor rgb="FFE2F0D9"/>
      </patternFill>
    </fill>
    <fill>
      <patternFill patternType="solid">
        <fgColor rgb="FF17365D"/>
      </patternFill>
    </fill>
  </fills>
  <borders count="11">
    <border/>
    <border>
      <right style="thin">
        <color rgb="FFD9E2F3"/>
      </right>
      <bottom style="thin">
        <color rgb="FFD9E2F3"/>
      </bottom>
    </border>
    <border>
      <left style="thin">
        <color rgb="FFD9E2F3"/>
      </left>
      <right style="thin">
        <color rgb="FFD9E2F3"/>
      </right>
      <bottom style="thin">
        <color rgb="FFD9E2F3"/>
      </bottom>
    </border>
    <border>
      <left style="thin">
        <color rgb="FFD9E2F3"/>
      </left>
      <bottom style="thin">
        <color rgb="FFD9E2F3"/>
      </bottom>
    </border>
    <border>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right style="thin">
        <color rgb="FFD9E2F3"/>
      </right>
      <top style="thin">
        <color rgb="FFD9E2F3"/>
      </top>
    </border>
    <border>
      <left style="thin">
        <color rgb="FFD9E2F3"/>
      </left>
      <right style="thin">
        <color rgb="FFD9E2F3"/>
      </right>
      <top style="thin">
        <color rgb="FFD9E2F3"/>
      </top>
    </border>
    <border>
      <left style="thin">
        <color rgb="FFD9E2F3"/>
      </left>
      <top style="thin">
        <color rgb="FFD9E2F3"/>
      </top>
    </border>
    <border>
      <left style="thin">
        <color rgb="FFB7C9DD"/>
      </left>
      <right style="thin">
        <color rgb="FFB7C9DD"/>
      </right>
      <top style="thin">
        <color rgb="FFB7C9DD"/>
      </top>
      <bottom style="thin">
        <color rgb="FFB7C9DD"/>
      </bottom>
    </border>
  </borders>
  <cellStyleXfs count="1">
    <xf numFmtId="0" fontId="0" fillId="0" borderId="0"/>
  </cellStyleXfs>
  <cellXfs count="42">
    <xf numFmtId="0" fontId="0" fillId="0"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xf>
    <xf numFmtId="0" fontId="1" fillId="2" borderId="0" applyAlignment="1" pivotButton="0" quotePrefix="0" xfId="0">
      <alignment vertical="top" wrapText="1"/>
    </xf>
    <xf numFmtId="0" fontId="1" fillId="2" borderId="1" applyAlignment="1" pivotButton="0" quotePrefix="0" xfId="0">
      <alignment vertical="center" wrapText="1"/>
    </xf>
    <xf numFmtId="0" fontId="1" fillId="2" borderId="2" applyAlignment="1" pivotButton="0" quotePrefix="0" xfId="0">
      <alignment vertical="center" wrapText="1"/>
    </xf>
    <xf numFmtId="0" fontId="1" fillId="2" borderId="3" applyAlignment="1" pivotButton="0" quotePrefix="0" xfId="0">
      <alignment vertical="center"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1" fillId="2" borderId="0" applyAlignment="1" pivotButton="0" quotePrefix="0" xfId="0">
      <alignment horizontal="center" vertical="top"/>
    </xf>
    <xf numFmtId="0" fontId="2" fillId="3" borderId="0" applyAlignment="1" pivotButton="0" quotePrefix="0" xfId="0">
      <alignment horizontal="center" vertical="top" wrapText="1"/>
    </xf>
    <xf numFmtId="0" fontId="3" fillId="4" borderId="0" applyAlignment="1" pivotButton="0" quotePrefix="0" xfId="0">
      <alignment vertical="top" wrapText="1"/>
    </xf>
    <xf numFmtId="0" fontId="4" fillId="5" borderId="0"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6" fillId="0" borderId="4" applyAlignment="1" pivotButton="0" quotePrefix="0" xfId="0">
      <alignment vertical="top" wrapText="1"/>
    </xf>
    <xf numFmtId="0" fontId="6" fillId="0" borderId="5" applyAlignment="1" pivotButton="0" quotePrefix="0" xfId="0">
      <alignment vertical="top" wrapText="1"/>
    </xf>
    <xf numFmtId="0" fontId="6" fillId="0" borderId="6" applyAlignment="1" pivotButton="0" quotePrefix="0" xfId="0">
      <alignment vertical="top" wrapText="1"/>
    </xf>
    <xf numFmtId="0" fontId="6" fillId="0" borderId="7" applyAlignment="1" pivotButton="0" quotePrefix="0" xfId="0">
      <alignment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0" fontId="6" fillId="0" borderId="0" applyAlignment="1" pivotButton="0" quotePrefix="0" xfId="0">
      <alignment vertical="top" wrapText="1"/>
    </xf>
    <xf numFmtId="0" fontId="6" fillId="0" borderId="10" applyAlignment="1" pivotButton="0" quotePrefix="0" xfId="0">
      <alignment vertical="top" wrapText="1"/>
    </xf>
    <xf numFmtId="0" fontId="7" fillId="2" borderId="1" applyAlignment="1" pivotButton="0" quotePrefix="0" xfId="0">
      <alignment vertical="center" wrapText="1"/>
    </xf>
    <xf numFmtId="0" fontId="7" fillId="2" borderId="2" applyAlignment="1" pivotButton="0" quotePrefix="0" xfId="0">
      <alignment vertical="center" wrapText="1"/>
    </xf>
    <xf numFmtId="0" fontId="7" fillId="2" borderId="3" applyAlignment="1" pivotButton="0" quotePrefix="0" xfId="0">
      <alignment vertical="center" wrapText="1"/>
    </xf>
    <xf numFmtId="0" fontId="7" fillId="6" borderId="1" applyAlignment="1" pivotButton="0" quotePrefix="0" xfId="0">
      <alignment vertical="center" wrapText="1"/>
    </xf>
    <xf numFmtId="0" fontId="7" fillId="6" borderId="2" applyAlignment="1" pivotButton="0" quotePrefix="0" xfId="0">
      <alignment vertical="center" wrapText="1"/>
    </xf>
    <xf numFmtId="0" fontId="7" fillId="6" borderId="3" applyAlignment="1" pivotButton="0" quotePrefix="0" xfId="0">
      <alignment vertical="center" wrapText="1"/>
    </xf>
    <xf numFmtId="0" fontId="7" fillId="0" borderId="0" pivotButton="0" quotePrefix="0" xfId="0"/>
    <xf numFmtId="0" fontId="7" fillId="6" borderId="0" pivotButton="0" quotePrefix="0" xfId="0"/>
  </cellXfs>
  <cellStyles count="1">
    <cellStyle name="Normal" xfId="0"/>
  </cellStyles>
  <dxfs count="6">
    <dxf>
      <font>
        <color rgb="FF375623"/>
      </font>
      <fill>
        <patternFill>
          <bgColor rgb="FFE2F0D9"/>
        </patternFill>
      </fill>
    </dxf>
    <dxf>
      <font>
        <b val="1"/>
        <color rgb="FF7F6000"/>
      </font>
      <fill>
        <patternFill>
          <bgColor rgb="FFFFF2CC"/>
        </patternFill>
      </fill>
    </dxf>
    <dxf>
      <font>
        <b val="1"/>
        <color rgb="FF9C0006"/>
      </font>
      <fill>
        <patternFill>
          <bgColor rgb="FFFCE4D6"/>
        </patternFill>
      </fill>
    </dxf>
    <dxf>
      <font>
        <color rgb="FF375623"/>
      </font>
      <fill>
        <patternFill>
          <bgColor rgb="FFE2F0D9"/>
        </patternFill>
      </fill>
    </dxf>
    <dxf>
      <font>
        <b val="1"/>
        <color rgb="FF7F6000"/>
      </font>
      <fill>
        <patternFill>
          <bgColor rgb="FFFFF2CC"/>
        </patternFill>
      </fill>
    </dxf>
    <dxf>
      <font>
        <b val="1"/>
        <color rgb="FF9C0006"/>
      </font>
      <fill>
        <patternFill>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IR2StateSummary" displayName="IR2StateSummary" ref="A4:B10" headerRowCount="1" totalsRowShown="0">
  <tableColumns count="2">
    <tableColumn id="1" name="Current state"/>
    <tableColumn id="2" name="Value"/>
  </tableColumns>
  <tableStyleInfo name="TableStyleMedium2" showFirstColumn="0" showLastColumn="0" showRowStripes="1" showColumnStripes="0"/>
</table>
</file>

<file path=xl/tables/table2.xml><?xml version="1.0" encoding="utf-8"?>
<table xmlns="http://schemas.openxmlformats.org/spreadsheetml/2006/main" id="2" name="IR2GroupGuide" displayName="IR2GroupGuide" ref="D4:F10" headerRowCount="1" totalsRowShown="0">
  <tableColumns count="3">
    <tableColumn id="1" name="IR2 group"/>
    <tableColumn id="2" name="Meaning"/>
    <tableColumn id="3" name="What you do now"/>
  </tableColumns>
  <tableStyleInfo name="TableStyleMedium2" showFirstColumn="0" showLastColumn="0" showRowStripes="1" showColumnStripes="0"/>
</table>
</file>

<file path=xl/tables/table3.xml><?xml version="1.0" encoding="utf-8"?>
<table xmlns="http://schemas.openxmlformats.org/spreadsheetml/2006/main" id="3" name="MKB1IR2Tracker" displayName="MKB1IR2Tracker" ref="A1:R42" headerRowCount="1" totalsRowCount="0" totalsRowShown="0">
  <tableColumns count="18">
    <tableColumn id="1" name="IR2 group"/>
    <tableColumn id="2" name="MKB ID"/>
    <tableColumn id="3" name="Package"/>
    <tableColumn id="4" name="Canonical concept"/>
    <tableColumn id="5" name="Final decision"/>
    <tableColumn id="6" name="Target"/>
    <tableColumn id="7" name="Current draft IRI(s)"/>
    <tableColumn id="8" name="Parent / modelling pattern"/>
    <tableColumn id="9" name="MKB1 draft status"/>
    <tableColumn id="10" name="Recommended final MatSus IRI(s)"/>
    <tableColumn id="11" name="Codex definition + parent assessment"/>
    <tableColumn id="12" name="Confirmed axioms now"/>
    <tableColumn id="13" name="In current MatSus source"/>
    <tableColumn id="14" name="Validation"/>
    <tableColumn id="15" name="External issue / dependency"/>
    <tableColumn id="16" name="Overall IR2 status"/>
    <tableColumn id="17" name="Next action"/>
    <tableColumn id="18" name="Notes"/>
  </tableColumns>
  <tableStyleInfo name="TableStyleMedium2" showFirstColumn="0" showLastColumn="0" showRowStripes="1" showColumnStripes="0"/>
</table>
</file>

<file path=xl/tables/table4.xml><?xml version="1.0" encoding="utf-8"?>
<table xmlns="http://schemas.openxmlformats.org/spreadsheetml/2006/main" id="4" name="MKB1ClassReview" displayName="MKB1ClassReview" ref="A1:N46" headerRowCount="1" totalsRowCount="0" totalsRowShown="0">
  <tableColumns count="14">
    <tableColumn id="1" name="MKB ID(s)"/>
    <tableColumn id="2" name="Ontology target"/>
    <tableColumn id="3" name="Class label"/>
    <tableColumn id="4" name="Recommended final IRI"/>
    <tableColumn id="5" name="Draft/proposed definition"/>
    <tableColumn id="6" name="Asserted/proposed parent"/>
    <tableColumn id="7" name="Codex assessment"/>
    <tableColumn id="8" name="Confidence"/>
    <tableColumn id="9" name="Confirmed axiom(s) now"/>
    <tableColumn id="10" name="Later axiomatization note"/>
    <tableColumn id="11" name="Issue / dependency"/>
    <tableColumn id="12" name="Implementation status"/>
    <tableColumn id="13" name="Human decision / comment"/>
    <tableColumn id="14" name="Editorial note"/>
  </tableColumns>
  <tableStyleInfo name="TableStyleMedium2" showFirstColumn="0" showLastColumn="0" showRowStripes="1" showColumnStripes="0"/>
</table>
</file>

<file path=xl/tables/table5.xml><?xml version="1.0" encoding="utf-8"?>
<table xmlns="http://schemas.openxmlformats.org/spreadsheetml/2006/main" id="5" name="IR2Handoffs" displayName="IR2Handoffs" ref="A1:E6" headerRowCount="1" totalsRowShown="0">
  <tableColumns count="5">
    <tableColumn id="1" name="Issue"/>
    <tableColumn id="2" name="Concept"/>
    <tableColumn id="3" name="Target"/>
    <tableColumn id="4" name="Status"/>
    <tableColumn id="5" name="URL /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table" Target="/xl/tables/table3.xml" Id="rId1" /></Relationships>
</file>

<file path=xl/worksheets/_rels/sheet3.xml.rels><Relationships xmlns="http://schemas.openxmlformats.org/package/2006/relationships"><Relationship Type="http://schemas.openxmlformats.org/officeDocument/2006/relationships/table" Target="/xl/tables/table4.xml" Id="rId1" /></Relationships>
</file>

<file path=xl/worksheets/_rels/sheet4.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4"/>
  <cols>
    <col width="42" customWidth="1" min="1" max="1"/>
    <col width="20" customWidth="1" min="2" max="2"/>
    <col width="4" customWidth="1" min="3" max="3"/>
    <col width="28" customWidth="1" min="4" max="4"/>
    <col width="62" customWidth="1" min="5" max="6"/>
  </cols>
  <sheetData>
    <row r="1">
      <c r="A1" s="14" t="inlineStr">
        <is>
          <t>MKB1 → MatSus IR2 implementation tracker</t>
        </is>
      </c>
    </row>
    <row r="2">
      <c r="A2" s="15" t="inlineStr">
        <is>
          <t>Definitions and parents have been assessed from the ontology draft; user review is requested only where the Class Review says REVISE or PROVISIONAL.</t>
        </is>
      </c>
    </row>
    <row r="3">
      <c r="A3" s="3" t="n"/>
      <c r="B3" s="3" t="n"/>
      <c r="C3" s="3" t="n"/>
      <c r="D3" s="3" t="n"/>
      <c r="E3" s="3" t="n"/>
      <c r="F3" s="3" t="n"/>
    </row>
    <row r="4">
      <c r="A4" s="4" t="inlineStr">
        <is>
          <t>Current state</t>
        </is>
      </c>
      <c r="B4" s="4" t="inlineStr">
        <is>
          <t>Value</t>
        </is>
      </c>
      <c r="C4" s="3" t="n"/>
      <c r="D4" s="4" t="inlineStr">
        <is>
          <t>IR2 group</t>
        </is>
      </c>
      <c r="E4" s="4" t="inlineStr">
        <is>
          <t>Meaning</t>
        </is>
      </c>
      <c r="F4" s="4" t="inlineStr">
        <is>
          <t>What you do now</t>
        </is>
      </c>
    </row>
    <row r="5" ht="48" customHeight="1">
      <c r="A5" s="3" t="inlineStr">
        <is>
          <t>MKB1 human-gate decisions</t>
        </is>
      </c>
      <c r="B5" s="3">
        <f>COUNTA('IR2 Tracker'!B2:B36)</f>
        <v/>
      </c>
      <c r="C5" s="3" t="n"/>
      <c r="D5" s="3" t="inlineStr">
        <is>
          <t>1 - LOCAL IMPLEMENTATION</t>
        </is>
      </c>
      <c r="E5" s="3" t="inlineStr">
        <is>
          <t>A MatSus class/pattern is drafted and can proceed toward integration.</t>
        </is>
      </c>
      <c r="F5" s="3" t="inlineStr">
        <is>
          <t>Use the recommended IRI. Review only REVISE/PROVISIONAL rows.</t>
        </is>
      </c>
    </row>
    <row r="6" ht="48" customHeight="1">
      <c r="A6" s="3" t="inlineStr">
        <is>
          <t>Local implementation rows/classes</t>
        </is>
      </c>
      <c r="B6" s="3">
        <f>COUNTIF('IR2 Tracker'!A2:A42,"1 - LOCAL IMPLEMENTATION")</f>
        <v/>
      </c>
      <c r="C6" s="3" t="n"/>
      <c r="D6" s="3" t="inlineStr">
        <is>
          <t>2 - EXTERNAL HANDOFF</t>
        </is>
      </c>
      <c r="E6" s="3" t="inlineStr">
        <is>
          <t>The concept belongs upstream in PMDco or LOG.</t>
        </is>
      </c>
      <c r="F6" s="3" t="inlineStr">
        <is>
          <t>Wait for the external decision; do not create a duplicate MatSus class.</t>
        </is>
      </c>
    </row>
    <row r="7" ht="48" customHeight="1">
      <c r="A7" s="3" t="inlineStr">
        <is>
          <t>Rows integrated into the provided current MatSus source</t>
        </is>
      </c>
      <c r="B7" s="3">
        <f>COUNTIF('IR2 Tracker'!M2:M42,"YES")</f>
        <v/>
      </c>
      <c r="C7" s="3" t="n"/>
      <c r="D7" s="3" t="inlineStr">
        <is>
          <t>3 - DEFERRED</t>
        </is>
      </c>
      <c r="E7" s="3" t="inlineStr">
        <is>
          <t>No class is justified without a concrete modelling example.</t>
        </is>
      </c>
      <c r="F7" s="3" t="inlineStr">
        <is>
          <t>No ontology action now.</t>
        </is>
      </c>
    </row>
    <row r="8" ht="48" customHeight="1">
      <c r="A8" s="3" t="inlineStr">
        <is>
          <t>PMDco issues submitted</t>
        </is>
      </c>
      <c r="B8" s="3">
        <f>COUNTIF(Handoffs!D2:D6,"ISSUE_SUBMITTED")</f>
        <v/>
      </c>
      <c r="C8" s="3" t="n"/>
      <c r="D8" s="3" t="inlineStr">
        <is>
          <t>Definitions/parents</t>
        </is>
      </c>
      <c r="E8" s="3" t="inlineStr">
        <is>
          <t>Full draft definition, asserted parent and Codex assessment are in Class Review.</t>
        </is>
      </c>
      <c r="F8" s="3" t="inlineStr">
        <is>
          <t>You do not need to review ACCEPT rows.</t>
        </is>
      </c>
    </row>
    <row r="9" ht="48" customHeight="1">
      <c r="A9" s="3" t="inlineStr">
        <is>
          <t>LOG issue pending</t>
        </is>
      </c>
      <c r="B9" s="3">
        <f>COUNTIF(Handoffs!D2:D6,"LOG_ISSUE_PENDING")</f>
        <v/>
      </c>
      <c r="C9" s="3" t="n"/>
      <c r="D9" s="3" t="inlineStr">
        <is>
          <t>Axioms now</t>
        </is>
      </c>
      <c r="E9" s="3" t="inlineStr">
        <is>
          <t>Only high-confidence parent/subclass and two discussed restrictions are recorded.</t>
        </is>
      </c>
      <c r="F9" s="3" t="inlineStr">
        <is>
          <t>Do not axiomatize further now.</t>
        </is>
      </c>
    </row>
    <row r="10" ht="48" customHeight="1">
      <c r="A10" s="3" t="inlineStr">
        <is>
          <t>Intentionally deferred modelling rows</t>
        </is>
      </c>
      <c r="B10" s="3">
        <f>COUNTIF('IR2 Tracker'!A2:A42,"3 - DEFERRED")</f>
        <v/>
      </c>
      <c r="C10" s="3" t="n"/>
      <c r="D10" s="3" t="inlineStr">
        <is>
          <t>Later axioms</t>
        </is>
      </c>
      <c r="E10" s="3" t="inlineStr">
        <is>
          <t>Uncertain relations are logged as later notes.</t>
        </is>
      </c>
      <c r="F10" s="3" t="inlineStr">
        <is>
          <t>Return to them during the later axiomatization phase.</t>
        </is>
      </c>
    </row>
    <row r="11">
      <c r="A11" s="3" t="n"/>
      <c r="B11" s="3" t="n"/>
      <c r="C11" s="3" t="n"/>
      <c r="D11" s="3" t="n"/>
      <c r="E11" s="3" t="n"/>
      <c r="F11" s="3" t="n"/>
    </row>
    <row r="12" ht="54" customHeight="1">
      <c r="A12" s="16" t="inlineStr">
        <is>
          <t>IRI recommendation: keep the readable https://w3id.org/pmd/matsus/&lt;ClassName&gt; IRIs already used in both supplied MatSus files. Confidence is high for consistency with these files, but repository-wide ID policy should still be checked once—not row by row—before merge.</t>
        </is>
      </c>
    </row>
    <row r="13">
      <c r="A13" s="3" t="n"/>
      <c r="B13" s="3" t="n"/>
      <c r="C13" s="3" t="n"/>
      <c r="D13" s="3" t="n"/>
      <c r="E13" s="3" t="n"/>
      <c r="F13" s="3" t="n"/>
    </row>
    <row r="14" ht="34" customHeight="1">
      <c r="A14" s="17" t="inlineStr">
        <is>
          <t>The MKB1 final workbook remains the decision/provenance archive. Use this tracker and Class Review sheet for IR2; six post-gate accepted classes are explicitly included.</t>
        </is>
      </c>
    </row>
  </sheetData>
  <mergeCells count="4">
    <mergeCell ref="A2:F2"/>
    <mergeCell ref="A14:F14"/>
    <mergeCell ref="A1:F1"/>
    <mergeCell ref="A12:F1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R42"/>
  <sheetViews>
    <sheetView showGridLines="0" workbookViewId="0">
      <selection activeCell="A1" sqref="A1"/>
    </sheetView>
  </sheetViews>
  <sheetFormatPr baseColWidth="8" defaultRowHeight="14"/>
  <cols>
    <col width="28" customWidth="1" min="1" max="1"/>
    <col width="15" customWidth="1" min="2" max="2"/>
    <col width="23" customWidth="1" min="3" max="3"/>
    <col width="31" customWidth="1" min="4" max="4"/>
    <col width="27" customWidth="1" min="5" max="5"/>
    <col width="21" customWidth="1" min="6" max="6"/>
    <col width="40" customWidth="1" min="7" max="7"/>
    <col width="36" customWidth="1" min="8" max="8"/>
    <col width="27" customWidth="1" min="9" max="9"/>
    <col width="43" customWidth="1" min="10" max="10"/>
    <col width="72" customWidth="1" min="11" max="11"/>
    <col width="58" customWidth="1" min="12" max="12"/>
    <col width="23" customWidth="1" min="13" max="14"/>
    <col width="58" customWidth="1" min="15" max="15"/>
    <col width="31" customWidth="1" min="16" max="16"/>
    <col width="58" customWidth="1" min="17" max="17"/>
    <col width="48" customWidth="1" min="18" max="18"/>
  </cols>
  <sheetData>
    <row r="1">
      <c r="A1" s="37" t="inlineStr">
        <is>
          <t>IR2 group</t>
        </is>
      </c>
      <c r="B1" s="38" t="inlineStr">
        <is>
          <t>MKB ID</t>
        </is>
      </c>
      <c r="C1" s="38" t="inlineStr">
        <is>
          <t>Package</t>
        </is>
      </c>
      <c r="D1" s="38" t="inlineStr">
        <is>
          <t>Canonical concept</t>
        </is>
      </c>
      <c r="E1" s="38" t="inlineStr">
        <is>
          <t>Final decision</t>
        </is>
      </c>
      <c r="F1" s="38" t="inlineStr">
        <is>
          <t>Target</t>
        </is>
      </c>
      <c r="G1" s="38" t="inlineStr">
        <is>
          <t>Current draft IRI(s)</t>
        </is>
      </c>
      <c r="H1" s="38" t="inlineStr">
        <is>
          <t>Parent / modelling pattern</t>
        </is>
      </c>
      <c r="I1" s="38" t="inlineStr">
        <is>
          <t>MKB1 draft status</t>
        </is>
      </c>
      <c r="J1" s="38" t="inlineStr">
        <is>
          <t>Recommended final MatSus IRI(s)</t>
        </is>
      </c>
      <c r="K1" s="38" t="inlineStr">
        <is>
          <t>Codex definition + parent assessment</t>
        </is>
      </c>
      <c r="L1" s="38" t="inlineStr">
        <is>
          <t>Confirmed axioms now</t>
        </is>
      </c>
      <c r="M1" s="38" t="inlineStr">
        <is>
          <t>In current MatSus source</t>
        </is>
      </c>
      <c r="N1" s="38" t="inlineStr">
        <is>
          <t>Validation</t>
        </is>
      </c>
      <c r="O1" s="38" t="inlineStr">
        <is>
          <t>External issue / dependency</t>
        </is>
      </c>
      <c r="P1" s="38" t="inlineStr">
        <is>
          <t>Overall IR2 status</t>
        </is>
      </c>
      <c r="Q1" s="38" t="inlineStr">
        <is>
          <t>Next action</t>
        </is>
      </c>
      <c r="R1" s="39" t="inlineStr">
        <is>
          <t>Notes</t>
        </is>
      </c>
    </row>
    <row r="2" ht="42" customHeight="1">
      <c r="A2" s="33" t="inlineStr">
        <is>
          <t>1 - LOCAL IMPLEMENTATION</t>
        </is>
      </c>
      <c r="B2" s="33" t="inlineStr">
        <is>
          <t>MKB-000059</t>
        </is>
      </c>
      <c r="C2" s="33" t="inlineStr">
        <is>
          <t>Cross-cutting</t>
        </is>
      </c>
      <c r="D2" s="33" t="inlineStr">
        <is>
          <t>collection system</t>
        </is>
      </c>
      <c r="E2" s="33" t="inlineStr">
        <is>
          <t>IMPLEMENT_LOCAL_MATSUS_TERM</t>
        </is>
      </c>
      <c r="F2" s="33" t="inlineStr">
        <is>
          <t>MatSus</t>
        </is>
      </c>
      <c r="G2" s="33" t="inlineStr">
        <is>
          <t>https://w3id.org/pmd/matsus/CollectionSystem</t>
        </is>
      </c>
      <c r="H2" s="33" t="inlineStr">
        <is>
          <t>BFO object aggregate (BFO_0000027)</t>
        </is>
      </c>
      <c r="I2" s="33" t="inlineStr">
        <is>
          <t>IMPLEMENTED_IN_MATSUS_EDIT (BATCH 2)</t>
        </is>
      </c>
      <c r="J2" s="33" t="inlineStr">
        <is>
          <t>https://w3id.org/pmd/matsus/MATSUS_0000014</t>
        </is>
      </c>
      <c r="K2" s="33" t="inlineStr">
        <is>
          <t>CollectionSystem: ACCEPT PROVISIONALLY — implemented as an object aggregate; revisit member, agent, function, and realized-process modelling when those queries become central.</t>
        </is>
      </c>
      <c r="L2" s="33" t="inlineStr">
        <is>
          <t>MATSUS_0000014 SubClassOf BFO_0000027.</t>
        </is>
      </c>
      <c r="M2" s="33" t="inlineStr">
        <is>
          <t>YES - MKB1 IR2 BATCH 2</t>
        </is>
      </c>
      <c r="N2"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 s="33" t="n"/>
      <c r="P2" s="33" t="inlineStr">
        <is>
          <t>IMPLEMENTED_VALIDATED_WITH_BASELINE_EXPLAINED_WARNINGS</t>
        </is>
      </c>
      <c r="Q2" s="33" t="inlineStr">
        <is>
          <t>Ready for human pre-commit review; retain deferred modelling notes.</t>
        </is>
      </c>
      <c r="R2" s="33" t="inlineStr">
        <is>
          <t>Full class-level definition, parent, confidence and later-axiom notes are in Class Review.</t>
        </is>
      </c>
    </row>
    <row r="3" ht="28" customHeight="1">
      <c r="A3" s="33" t="inlineStr">
        <is>
          <t>1 - LOCAL IMPLEMENTATION</t>
        </is>
      </c>
      <c r="B3" s="33" t="inlineStr">
        <is>
          <t>ADD-SCO-012</t>
        </is>
      </c>
      <c r="C3" s="33" t="inlineStr">
        <is>
          <t>Information/specification</t>
        </is>
      </c>
      <c r="D3" s="33" t="inlineStr">
        <is>
          <t>metric specification</t>
        </is>
      </c>
      <c r="E3" s="33" t="inlineStr">
        <is>
          <t>IMPLEMENT_LOCAL_MATSUS_TERM</t>
        </is>
      </c>
      <c r="F3" s="33" t="inlineStr">
        <is>
          <t>MatSus</t>
        </is>
      </c>
      <c r="G3" s="33" t="inlineStr">
        <is>
          <t>https://w3id.org/pmd/matsus/MetricSpecification</t>
        </is>
      </c>
      <c r="H3" s="33" t="inlineStr">
        <is>
          <t>IAO directive information entity (IAO_0000033)</t>
        </is>
      </c>
      <c r="I3" s="33" t="inlineStr">
        <is>
          <t>IMPLEMENTED_IN_MATSUS_EDIT</t>
        </is>
      </c>
      <c r="J3" s="33" t="inlineStr">
        <is>
          <t>https://w3id.org/pmd/matsus/MetricSpecification</t>
        </is>
      </c>
      <c r="K3" s="33" t="inlineStr">
        <is>
          <t>MetricSpecification: ACCEPT — a metric specification prescribes calculation inputs/methods; the resulting metric value remains a data item.</t>
        </is>
      </c>
      <c r="L3" s="33" t="inlineStr">
        <is>
          <t>MetricSpecification SubClassOf IAO directive information entity.</t>
        </is>
      </c>
      <c r="M3" s="33" t="inlineStr">
        <is>
          <t>NO - DRAFT ONLY</t>
        </is>
      </c>
      <c r="N3" s="33" t="inlineStr">
        <is>
          <t>FULL BUILD TODO</t>
        </is>
      </c>
      <c r="O3" s="33" t="n"/>
      <c r="P3" s="33" t="inlineStr">
        <is>
          <t>DRAFT_READY_FOR_IR2</t>
        </is>
      </c>
      <c r="Q3" s="33" t="inlineStr">
        <is>
          <t>Use MetricSpecification for indicator methods; keep values/results under IAO data item.</t>
        </is>
      </c>
      <c r="R3" s="33" t="inlineStr">
        <is>
          <t>Full class-level definition, parent, confidence and later-axiom notes are in Class Review.</t>
        </is>
      </c>
    </row>
    <row r="4" ht="42" customHeight="1">
      <c r="A4" s="33" t="inlineStr">
        <is>
          <t>1 - LOCAL IMPLEMENTATION</t>
        </is>
      </c>
      <c r="B4" s="33" t="inlineStr">
        <is>
          <t>MKB-000028</t>
        </is>
      </c>
      <c r="C4" s="33" t="inlineStr">
        <is>
          <t>Information/specification</t>
        </is>
      </c>
      <c r="D4" s="33" t="inlineStr">
        <is>
          <t>circular design specification</t>
        </is>
      </c>
      <c r="E4" s="33" t="inlineStr">
        <is>
          <t>IMPLEMENT_LOCAL_MATSUS_TERM</t>
        </is>
      </c>
      <c r="F4" s="33" t="inlineStr">
        <is>
          <t>MatSus</t>
        </is>
      </c>
      <c r="G4" s="33" t="inlineStr">
        <is>
          <t>https://w3id.org/pmd/matsus/CircularDesignSpecification</t>
        </is>
      </c>
      <c r="H4" s="33" t="inlineStr">
        <is>
          <t>IAO directive information entity (IAO_0000033)</t>
        </is>
      </c>
      <c r="I4" s="33" t="inlineStr">
        <is>
          <t>IMPLEMENTED_IN_MATSUS_EDIT</t>
        </is>
      </c>
      <c r="J4" s="33" t="inlineStr">
        <is>
          <t>https://w3id.org/pmd/matsus/CircularDesignSpecification</t>
        </is>
      </c>
      <c r="K4" s="33" t="inlineStr">
        <is>
          <t>CircularDesignSpecification: ACCEPT PROVISIONALLY — usable local specialization, but the current directive-only parent/definition may be too narrow if PMDco issue #488 adopts a descriptive-or-directive specification-document pattern.</t>
        </is>
      </c>
      <c r="L4" s="33" t="inlineStr">
        <is>
          <t>For now: CircularDesignSpecification SubClassOf IAO directive information entity.</t>
        </is>
      </c>
      <c r="M4" s="33" t="inlineStr">
        <is>
          <t>NO - DRAFT ONLY</t>
        </is>
      </c>
      <c r="N4" s="33" t="inlineStr">
        <is>
          <t>FULL BUILD TODO</t>
        </is>
      </c>
      <c r="O4" s="33" t="inlineStr">
        <is>
          <t>https://github.com/materialdigital/core-ontology/issues/488</t>
        </is>
      </c>
      <c r="P4" s="33" t="inlineStr">
        <is>
          <t>DRAFT_READY_ISSUE_SUBMITTED</t>
        </is>
      </c>
      <c r="Q4" s="33" t="inlineStr">
        <is>
          <t>PMDco issue #488 submitted for generic design specification. Keep the MatSus circular design specialization; reconcile its parent after the PMDco decision.</t>
        </is>
      </c>
      <c r="R4" s="33" t="inlineStr">
        <is>
          <t>Full class-level definition, parent, confidence and later-axiom notes are in Class Review.</t>
        </is>
      </c>
    </row>
    <row r="5" ht="42" customHeight="1">
      <c r="A5" s="33" t="inlineStr">
        <is>
          <t>1 - LOCAL IMPLEMENTATION</t>
        </is>
      </c>
      <c r="B5" s="33" t="inlineStr">
        <is>
          <t>MKB-000231</t>
        </is>
      </c>
      <c r="C5" s="33" t="inlineStr">
        <is>
          <t>Information/specification</t>
        </is>
      </c>
      <c r="D5" s="33" t="inlineStr">
        <is>
          <t>sorting process + sorting method specification</t>
        </is>
      </c>
      <c r="E5" s="33" t="inlineStr">
        <is>
          <t>IMPLEMENT_LOCAL_MATSUS_PATTERN</t>
        </is>
      </c>
      <c r="F5" s="33" t="inlineStr">
        <is>
          <t>MatSus</t>
        </is>
      </c>
      <c r="G5" s="33" t="inlineStr">
        <is>
          <t>https://w3id.org/pmd/matsus/SortingProcess | https://w3id.org/pmd/matsus/SortingMethodSpecification</t>
        </is>
      </c>
      <c r="H5" s="33" t="inlineStr">
        <is>
          <t>COB planned process + IAO plan specification</t>
        </is>
      </c>
      <c r="I5" s="33" t="inlineStr">
        <is>
          <t>IMPLEMENTED_IN_MATSUS_EDIT (BATCH 2)</t>
        </is>
      </c>
      <c r="J5" s="33" t="inlineStr">
        <is>
          <t>https://w3id.org/pmd/matsus/MATSUS_0000016 | https://w3id.org/pmd/matsus/MATSUS_0000017</t>
        </is>
      </c>
      <c r="K5" s="33" t="inlineStr">
        <is>
          <t>SortingProcess: ACCEPT — implemented as a planned process. | SortingMethodSpecification: ACCEPT — implemented as an IAO plan specification and explicitly not as a SortingProcess subclass.</t>
        </is>
      </c>
      <c r="L5" s="33" t="inlineStr">
        <is>
          <t>MATSUS_0000016 SubClassOf COB_0000082. | MATSUS_0000017 SubClassOf IAO_0000104. No subclass axiom from MATSUS_0000017 to MATSUS_0000016.</t>
        </is>
      </c>
      <c r="M5" s="33" t="inlineStr">
        <is>
          <t>YES - MKB1 IR2 BATCH 2</t>
        </is>
      </c>
      <c r="N5"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5" s="33" t="n"/>
      <c r="P5" s="33" t="inlineStr">
        <is>
          <t>IMPLEMENTED_VALIDATED_WITH_BASELINE_EXPLAINED_WARNINGS</t>
        </is>
      </c>
      <c r="Q5" s="33" t="inlineStr">
        <is>
          <t>Ready for human pre-commit review; retain deferred modelling notes.</t>
        </is>
      </c>
      <c r="R5" s="33" t="inlineStr">
        <is>
          <t>Full class-level definition, parent, confidence and later-axiom notes are in Class Review.</t>
        </is>
      </c>
    </row>
    <row r="6" ht="42" customHeight="1">
      <c r="A6" s="33" t="inlineStr">
        <is>
          <t>1 - LOCAL IMPLEMENTATION</t>
        </is>
      </c>
      <c r="B6" s="33" t="inlineStr">
        <is>
          <t>MKB-000016</t>
        </is>
      </c>
      <c r="C6" s="33" t="inlineStr">
        <is>
          <t>Material/role</t>
        </is>
      </c>
      <c r="D6" s="33" t="inlineStr">
        <is>
          <t>feedstock role</t>
        </is>
      </c>
      <c r="E6" s="33" t="inlineStr">
        <is>
          <t>IMPLEMENT_LOCAL_MATSUS_PATTERN</t>
        </is>
      </c>
      <c r="F6" s="33" t="inlineStr">
        <is>
          <t>MatSus + LOG anchor</t>
        </is>
      </c>
      <c r="G6" s="33" t="inlineStr">
        <is>
          <t>https://w3id.org/pmd/matsus/FeedstockRole</t>
        </is>
      </c>
      <c r="H6" s="33" t="inlineStr">
        <is>
          <t>LOG material resource role (LOG_1000106)</t>
        </is>
      </c>
      <c r="I6" s="33" t="inlineStr">
        <is>
          <t>IMPLEMENTED_IN_MATSUS_EDIT</t>
        </is>
      </c>
      <c r="J6" s="33" t="inlineStr">
        <is>
          <t>https://w3id.org/pmd/matsus/FeedstockRole</t>
        </is>
      </c>
      <c r="K6" s="33" t="inlineStr">
        <is>
          <t>FeedstockRole: ACCEPT PROVISIONALLY — role modelling is correct and the LOG parent is reasonable; PMDco issue #486 may provide the upstream class and require reconciliation.</t>
        </is>
      </c>
      <c r="L6" s="33" t="inlineStr">
        <is>
          <t>For now: FeedstockRole SubClassOf LOG material resource role.</t>
        </is>
      </c>
      <c r="M6" s="33" t="inlineStr">
        <is>
          <t>NO - DRAFT ONLY</t>
        </is>
      </c>
      <c r="N6" s="33" t="inlineStr">
        <is>
          <t>FULL BUILD TODO</t>
        </is>
      </c>
      <c r="O6" s="33" t="inlineStr">
        <is>
          <t>https://github.com/materialdigital/core-ontology/issues/486</t>
        </is>
      </c>
      <c r="P6" s="33" t="inlineStr">
        <is>
          <t>DRAFT_READY_ISSUE_SUBMITTED</t>
        </is>
      </c>
      <c r="Q6" s="33" t="inlineStr">
        <is>
          <t>PMDco issue #486 submitted for feedstock role. Keep the MatSus FeedstockRole draft for current use; reconcile its parent/mapping if PMDco adopts the role.</t>
        </is>
      </c>
      <c r="R6" s="33" t="inlineStr">
        <is>
          <t>Full class-level definition, parent, confidence and later-axiom notes are in Class Review.</t>
        </is>
      </c>
    </row>
    <row r="7" ht="28" customHeight="1">
      <c r="A7" s="33" t="inlineStr">
        <is>
          <t>1 - LOCAL IMPLEMENTATION</t>
        </is>
      </c>
      <c r="B7" s="33" t="inlineStr">
        <is>
          <t>MKB-000137</t>
        </is>
      </c>
      <c r="C7" s="33" t="inlineStr">
        <is>
          <t>Material/role</t>
        </is>
      </c>
      <c r="D7" s="33" t="inlineStr">
        <is>
          <t>material resource efficiency datum</t>
        </is>
      </c>
      <c r="E7" s="33" t="inlineStr">
        <is>
          <t>ALIGN_TO_LOCAL_CANONICAL</t>
        </is>
      </c>
      <c r="F7" s="33" t="inlineStr">
        <is>
          <t>MatSus</t>
        </is>
      </c>
      <c r="G7" s="33" t="inlineStr">
        <is>
          <t>https://w3id.org/pmd/matsus/MaterialResourceEfficiencyDatum</t>
        </is>
      </c>
      <c r="H7" s="33" t="inlineStr">
        <is>
          <t>MatSus resource efficiency datum</t>
        </is>
      </c>
      <c r="I7" s="33" t="inlineStr">
        <is>
          <t>IMPLEMENTED_IN_MATSUS_EDIT</t>
        </is>
      </c>
      <c r="J7" s="33" t="inlineStr">
        <is>
          <t>https://w3id.org/pmd/matsus/MaterialResourceEfficiencyDatum</t>
        </is>
      </c>
      <c r="K7" s="33" t="inlineStr">
        <is>
          <t>MaterialResourceEfficiencyDatum: ACCEPT — clear material-input specialization.</t>
        </is>
      </c>
      <c r="L7" s="33" t="inlineStr">
        <is>
          <t>MaterialResourceEfficiencyDatum SubClassOf ResourceEfficiencyDatum.</t>
        </is>
      </c>
      <c r="M7" s="33" t="inlineStr">
        <is>
          <t>NO - DRAFT ONLY</t>
        </is>
      </c>
      <c r="N7" s="33" t="inlineStr">
        <is>
          <t>FULL BUILD TODO</t>
        </is>
      </c>
      <c r="O7" s="33" t="n"/>
      <c r="P7" s="33" t="inlineStr">
        <is>
          <t>DRAFT_READY_FOR_IR2</t>
        </is>
      </c>
      <c r="Q7" s="33" t="inlineStr">
        <is>
          <t>Record output/value, material input, method, boundary and time interval in the instance pattern.</t>
        </is>
      </c>
      <c r="R7" s="33" t="inlineStr">
        <is>
          <t>Full class-level definition, parent, confidence and later-axiom notes are in Class Review.</t>
        </is>
      </c>
    </row>
    <row r="8" ht="42" customHeight="1">
      <c r="A8" s="33" t="inlineStr">
        <is>
          <t>1 - LOCAL IMPLEMENTATION</t>
        </is>
      </c>
      <c r="B8" s="33" t="inlineStr">
        <is>
          <t>MKB-000150</t>
        </is>
      </c>
      <c r="C8" s="33" t="inlineStr">
        <is>
          <t>Material/role</t>
        </is>
      </c>
      <c r="D8" s="33" t="inlineStr">
        <is>
          <t>virgin material (implemented); non-virgin material deferred</t>
        </is>
      </c>
      <c r="E8" s="33" t="inlineStr">
        <is>
          <t>DEFER_MODELLING_USE_CASE</t>
        </is>
      </c>
      <c r="F8" s="33" t="inlineStr">
        <is>
          <t>MatSus</t>
        </is>
      </c>
      <c r="G8" s="33" t="inlineStr">
        <is>
          <t>https://w3id.org/pmd/matsus/VirginMaterial</t>
        </is>
      </c>
      <c r="H8" s="33" t="inlineStr">
        <is>
          <t>PMDco material (PMD_0000000)</t>
        </is>
      </c>
      <c r="I8" s="33" t="inlineStr">
        <is>
          <t>PARTIALLY_IMPLEMENTED</t>
        </is>
      </c>
      <c r="J8" s="33" t="inlineStr">
        <is>
          <t>https://w3id.org/pmd/matsus/VirginMaterial</t>
        </is>
      </c>
      <c r="K8" s="33" t="inlineStr">
        <is>
          <t>VirginMaterial: REVISE BEFORE MERGE — parent is correct; definition needs an explicit authoritative source and clearer treatment of mixed virgin/recovered constituents. Do not define non-virgin material as its OWL complement.</t>
        </is>
      </c>
      <c r="L8" s="33" t="inlineStr">
        <is>
          <t>VirginMaterial SubClassOf PMDco material.</t>
        </is>
      </c>
      <c r="M8" s="33" t="inlineStr">
        <is>
          <t>NO - DRAFT ONLY</t>
        </is>
      </c>
      <c r="N8" s="33" t="inlineStr">
        <is>
          <t>FULL BUILD TODO</t>
        </is>
      </c>
      <c r="O8" s="33" t="n"/>
      <c r="P8" s="33" t="inlineStr">
        <is>
          <t>PARTIAL_DRAFT_READY</t>
        </is>
      </c>
      <c r="Q8" s="33" t="inlineStr">
        <is>
          <t>Use recycled/recovered-content assertions; revisit a positive SecondaryMaterial class with a composition competency query.</t>
        </is>
      </c>
      <c r="R8" s="33" t="inlineStr">
        <is>
          <t>Full class-level definition, parent, confidence and later-axiom notes are in Class Review.</t>
        </is>
      </c>
    </row>
    <row r="9" ht="28" customHeight="1">
      <c r="A9" s="33" t="inlineStr">
        <is>
          <t>1 - LOCAL IMPLEMENTATION</t>
        </is>
      </c>
      <c r="B9" s="33" t="inlineStr">
        <is>
          <t>MKB-000009</t>
        </is>
      </c>
      <c r="C9" s="33" t="inlineStr">
        <is>
          <t>Process</t>
        </is>
      </c>
      <c r="D9" s="33" t="inlineStr">
        <is>
          <t>battery repurposing process</t>
        </is>
      </c>
      <c r="E9" s="33" t="inlineStr">
        <is>
          <t>IMPLEMENT_LOCAL_MATSUS_TERM</t>
        </is>
      </c>
      <c r="F9" s="33" t="inlineStr">
        <is>
          <t>MatSus</t>
        </is>
      </c>
      <c r="G9" s="33" t="inlineStr">
        <is>
          <t>https://w3id.org/pmd/matsus/BatteryRepurposingProcess</t>
        </is>
      </c>
      <c r="H9" s="33" t="inlineStr">
        <is>
          <t>repurposing process</t>
        </is>
      </c>
      <c r="I9" s="33" t="inlineStr">
        <is>
          <t>IMPLEMENTED_IN_MATSUS_EDIT</t>
        </is>
      </c>
      <c r="J9" s="33" t="inlineStr">
        <is>
          <t>https://w3id.org/pmd/matsus/BatteryRepurposingProcess</t>
        </is>
      </c>
      <c r="K9" s="33" t="inlineStr">
        <is>
          <t>BatteryRepurposingProcess: ACCEPT — appropriate battery-specific specialization.</t>
        </is>
      </c>
      <c r="L9" s="33" t="inlineStr">
        <is>
          <t>BatteryRepurposingProcess SubClassOf RepurposingProcess.</t>
        </is>
      </c>
      <c r="M9" s="33" t="inlineStr">
        <is>
          <t>NO - DRAFT ONLY</t>
        </is>
      </c>
      <c r="N9" s="33" t="inlineStr">
        <is>
          <t>FULL BUILD TODO</t>
        </is>
      </c>
      <c r="O9" s="33" t="n"/>
      <c r="P9" s="33" t="inlineStr">
        <is>
          <t>DRAFT_READY_FOR_IR2</t>
        </is>
      </c>
      <c r="Q9" s="33" t="inlineStr">
        <is>
          <t>Use a battery second-life example to test participant and new-purpose relations.</t>
        </is>
      </c>
      <c r="R9" s="33" t="inlineStr">
        <is>
          <t>Full class-level definition, parent, confidence and later-axiom notes are in Class Review.</t>
        </is>
      </c>
    </row>
    <row r="10" ht="42" customHeight="1">
      <c r="A10" s="33" t="inlineStr">
        <is>
          <t>1 - LOCAL IMPLEMENTATION</t>
        </is>
      </c>
      <c r="B10" s="33" t="inlineStr">
        <is>
          <t>MKB-000180</t>
        </is>
      </c>
      <c r="C10" s="33" t="inlineStr">
        <is>
          <t>Process</t>
        </is>
      </c>
      <c r="D10" s="33" t="inlineStr">
        <is>
          <t>resource-input reduction process</t>
        </is>
      </c>
      <c r="E10" s="33" t="inlineStr">
        <is>
          <t>REFORMULATE_TO_PROCESS_AND_IMPLEMENT</t>
        </is>
      </c>
      <c r="F10" s="33" t="inlineStr">
        <is>
          <t>MatSus</t>
        </is>
      </c>
      <c r="G10" s="33" t="inlineStr">
        <is>
          <t>https://w3id.org/pmd/matsus/ResourceInputReductionProcess</t>
        </is>
      </c>
      <c r="H10" s="33" t="inlineStr">
        <is>
          <t>COB planned process (COB_0000082)</t>
        </is>
      </c>
      <c r="I10" s="33" t="inlineStr">
        <is>
          <t>IMPLEMENTED_IN_MATSUS_EDIT</t>
        </is>
      </c>
      <c r="J10" s="33" t="inlineStr">
        <is>
          <t>https://w3id.org/pmd/matsus/ResourceInputReductionProcess</t>
        </is>
      </c>
      <c r="K10" s="33" t="inlineStr">
        <is>
          <t>ResourceInputReductionProcess: REVISE BEFORE MERGE — parent is correct, but the draft phrase ‘used by another process’ is ambiguous. Define it directly through lower resource input relative to a stated baseline and comparable output.</t>
        </is>
      </c>
      <c r="L10" s="33" t="inlineStr">
        <is>
          <t>ResourceInputReductionProcess SubClassOf COB planned process.</t>
        </is>
      </c>
      <c r="M10" s="33" t="inlineStr">
        <is>
          <t>NO - DRAFT ONLY</t>
        </is>
      </c>
      <c r="N10" s="33" t="inlineStr">
        <is>
          <t>FULL BUILD TODO</t>
        </is>
      </c>
      <c r="O10" s="33" t="n"/>
      <c r="P10" s="33" t="inlineStr">
        <is>
          <t>DRAFT_READY_FOR_IR2</t>
        </is>
      </c>
      <c r="Q10" s="33" t="inlineStr">
        <is>
          <t>Test with a manufacturing example: process P2 uses less material/energy than baseline P1 under the same output specification.</t>
        </is>
      </c>
      <c r="R10" s="33" t="inlineStr">
        <is>
          <t>Full class-level definition, parent, confidence and later-axiom notes are in Class Review.</t>
        </is>
      </c>
    </row>
    <row r="11" ht="28" customHeight="1">
      <c r="A11" s="33" t="inlineStr">
        <is>
          <t>1 - LOCAL IMPLEMENTATION</t>
        </is>
      </c>
      <c r="B11" s="33" t="inlineStr">
        <is>
          <t>MKB-000181</t>
        </is>
      </c>
      <c r="C11" s="33" t="inlineStr">
        <is>
          <t>Process</t>
        </is>
      </c>
      <c r="D11" s="33" t="inlineStr">
        <is>
          <t>refill process</t>
        </is>
      </c>
      <c r="E11" s="33" t="inlineStr">
        <is>
          <t>ALIGN_TO_LOCAL_CANONICAL</t>
        </is>
      </c>
      <c r="F11" s="33" t="inlineStr">
        <is>
          <t>MatSus</t>
        </is>
      </c>
      <c r="G11" s="33" t="inlineStr">
        <is>
          <t>https://w3id.org/pmd/matsus/RefillProcess</t>
        </is>
      </c>
      <c r="H11" s="33" t="inlineStr">
        <is>
          <t>COB planned process (COB_0000082)</t>
        </is>
      </c>
      <c r="I11" s="33" t="inlineStr">
        <is>
          <t>IMPLEMENTED_IN_MATSUS_EDIT</t>
        </is>
      </c>
      <c r="J11" s="33" t="inlineStr">
        <is>
          <t>https://w3id.org/pmd/matsus/RefillProcess</t>
        </is>
      </c>
      <c r="K11" s="33" t="inlineStr">
        <is>
          <t>RefillProcess: ACCEPT — one generic process correctly consolidates at-home and on-the-go contexts.</t>
        </is>
      </c>
      <c r="L11" s="33" t="inlineStr">
        <is>
          <t>RefillProcess SubClassOf COB planned process.</t>
        </is>
      </c>
      <c r="M11" s="33" t="inlineStr">
        <is>
          <t>NO - DRAFT ONLY</t>
        </is>
      </c>
      <c r="N11" s="33" t="inlineStr">
        <is>
          <t>FULL BUILD TODO</t>
        </is>
      </c>
      <c r="O11" s="33" t="n"/>
      <c r="P11" s="33" t="inlineStr">
        <is>
          <t>DRAFT_READY_FOR_IR2</t>
        </is>
      </c>
      <c r="Q11" s="33" t="inlineStr">
        <is>
          <t>Keep at-home as source context; add a context relation only when queries require it.</t>
        </is>
      </c>
      <c r="R11" s="33" t="inlineStr">
        <is>
          <t>Full class-level definition, parent, confidence and later-axiom notes are in Class Review.</t>
        </is>
      </c>
    </row>
    <row r="12" ht="28" customHeight="1">
      <c r="A12" s="33" t="inlineStr">
        <is>
          <t>1 - LOCAL IMPLEMENTATION</t>
        </is>
      </c>
      <c r="B12" s="33" t="inlineStr">
        <is>
          <t>MKB-000182</t>
        </is>
      </c>
      <c r="C12" s="33" t="inlineStr">
        <is>
          <t>Process</t>
        </is>
      </c>
      <c r="D12" s="33" t="inlineStr">
        <is>
          <t>refill process</t>
        </is>
      </c>
      <c r="E12" s="33" t="inlineStr">
        <is>
          <t>ALIGN_TO_LOCAL_CANONICAL</t>
        </is>
      </c>
      <c r="F12" s="33" t="inlineStr">
        <is>
          <t>MatSus</t>
        </is>
      </c>
      <c r="G12" s="33" t="inlineStr">
        <is>
          <t>https://w3id.org/pmd/matsus/RefillProcess</t>
        </is>
      </c>
      <c r="H12" s="33" t="inlineStr">
        <is>
          <t>COB planned process (COB_0000082)</t>
        </is>
      </c>
      <c r="I12" s="33" t="inlineStr">
        <is>
          <t>IMPLEMENTED_IN_MATSUS_EDIT</t>
        </is>
      </c>
      <c r="J12" s="33" t="inlineStr">
        <is>
          <t>https://w3id.org/pmd/matsus/RefillProcess</t>
        </is>
      </c>
      <c r="K12" s="33" t="inlineStr">
        <is>
          <t>RefillProcess: ACCEPT — one generic process correctly consolidates at-home and on-the-go contexts.</t>
        </is>
      </c>
      <c r="L12" s="33" t="inlineStr">
        <is>
          <t>RefillProcess SubClassOf COB planned process.</t>
        </is>
      </c>
      <c r="M12" s="33" t="inlineStr">
        <is>
          <t>NO - DRAFT ONLY</t>
        </is>
      </c>
      <c r="N12" s="33" t="inlineStr">
        <is>
          <t>FULL BUILD TODO</t>
        </is>
      </c>
      <c r="O12" s="33" t="n"/>
      <c r="P12" s="33" t="inlineStr">
        <is>
          <t>DRAFT_READY_FOR_IR2</t>
        </is>
      </c>
      <c r="Q12" s="33" t="inlineStr">
        <is>
          <t>Keep away-from-home as source context; add a context relation only when queries require it.</t>
        </is>
      </c>
      <c r="R12" s="33" t="inlineStr">
        <is>
          <t>Full class-level definition, parent, confidence and later-axiom notes are in Class Review.</t>
        </is>
      </c>
    </row>
    <row r="13" ht="28" customHeight="1">
      <c r="A13" s="33" t="inlineStr">
        <is>
          <t>1 - LOCAL IMPLEMENTATION</t>
        </is>
      </c>
      <c r="B13" s="33" t="inlineStr">
        <is>
          <t>MKB-000184</t>
        </is>
      </c>
      <c r="C13" s="33" t="inlineStr">
        <is>
          <t>Process</t>
        </is>
      </c>
      <c r="D13" s="33" t="inlineStr">
        <is>
          <t>refusal process</t>
        </is>
      </c>
      <c r="E13" s="33" t="inlineStr">
        <is>
          <t>REFORMULATE_TO_PROCESS_AND_IMPLEMENT</t>
        </is>
      </c>
      <c r="F13" s="33" t="inlineStr">
        <is>
          <t>MatSus</t>
        </is>
      </c>
      <c r="G13" s="33" t="inlineStr">
        <is>
          <t>https://w3id.org/pmd/matsus/RefusalProcess</t>
        </is>
      </c>
      <c r="H13" s="33" t="inlineStr">
        <is>
          <t>COB planned process (COB_0000082)</t>
        </is>
      </c>
      <c r="I13" s="33" t="inlineStr">
        <is>
          <t>IMPLEMENTED_IN_MATSUS_EDIT</t>
        </is>
      </c>
      <c r="J13" s="33" t="inlineStr">
        <is>
          <t>https://w3id.org/pmd/matsus/RefusalProcess</t>
        </is>
      </c>
      <c r="K13" s="33" t="inlineStr">
        <is>
          <t>RefusalProcess: ACCEPT — intentional refusal is appropriately a planned process rather than a bare verb class.</t>
        </is>
      </c>
      <c r="L13" s="33" t="inlineStr">
        <is>
          <t>RefusalProcess SubClassOf COB planned process.</t>
        </is>
      </c>
      <c r="M13" s="33" t="inlineStr">
        <is>
          <t>NO - DRAFT ONLY</t>
        </is>
      </c>
      <c r="N13" s="33" t="inlineStr">
        <is>
          <t>FULL BUILD TODO</t>
        </is>
      </c>
      <c r="O13" s="33" t="n"/>
      <c r="P13" s="33" t="inlineStr">
        <is>
          <t>DRAFT_READY_FOR_IR2</t>
        </is>
      </c>
      <c r="Q13" s="33" t="inlineStr">
        <is>
          <t>Test with a user declining single-use packaging; add agent/object relations during axiomatization.</t>
        </is>
      </c>
      <c r="R13" s="33" t="inlineStr">
        <is>
          <t>Full class-level definition, parent, confidence and later-axiom notes are in Class Review.</t>
        </is>
      </c>
    </row>
    <row r="14" ht="28" customHeight="1">
      <c r="A14" s="33" t="inlineStr">
        <is>
          <t>1 - LOCAL IMPLEMENTATION</t>
        </is>
      </c>
      <c r="B14" s="33" t="inlineStr">
        <is>
          <t>MKB-000189</t>
        </is>
      </c>
      <c r="C14" s="33" t="inlineStr">
        <is>
          <t>Process</t>
        </is>
      </c>
      <c r="D14" s="33" t="inlineStr">
        <is>
          <t>remanufacturing process</t>
        </is>
      </c>
      <c r="E14" s="33" t="inlineStr">
        <is>
          <t>REFORMULATE_TO_PROCESS_AND_IMPLEMENT</t>
        </is>
      </c>
      <c r="F14" s="33" t="inlineStr">
        <is>
          <t>MatSus</t>
        </is>
      </c>
      <c r="G14" s="33" t="inlineStr">
        <is>
          <t>https://w3id.org/pmd/matsus/RemanufacturingProcess</t>
        </is>
      </c>
      <c r="H14" s="33" t="inlineStr">
        <is>
          <t>COB planned process (COB_0000082)</t>
        </is>
      </c>
      <c r="I14" s="33" t="inlineStr">
        <is>
          <t>IMPLEMENTED_IN_MATSUS_EDIT</t>
        </is>
      </c>
      <c r="J14" s="33" t="inlineStr">
        <is>
          <t>https://w3id.org/pmd/matsus/RemanufacturingProcess</t>
        </is>
      </c>
      <c r="K14" s="33" t="inlineStr">
        <is>
          <t>RemanufacturingProcess: ACCEPT — process parent and restorative-performance definition are defensible.</t>
        </is>
      </c>
      <c r="L14" s="33" t="inlineStr">
        <is>
          <t>RemanufacturingProcess SubClassOf COB planned process.</t>
        </is>
      </c>
      <c r="M14" s="33" t="inlineStr">
        <is>
          <t>NO - DRAFT ONLY</t>
        </is>
      </c>
      <c r="N14" s="33" t="inlineStr">
        <is>
          <t>FULL BUILD TODO</t>
        </is>
      </c>
      <c r="O14" s="33" t="n"/>
      <c r="P14" s="33" t="inlineStr">
        <is>
          <t>DRAFT_READY_FOR_IR2</t>
        </is>
      </c>
      <c r="Q14" s="33" t="inlineStr">
        <is>
          <t>If a capability query later needs remanufacturability, evaluate direct reuse of AutomatCE AUTOMATCE_0010231; do not duplicate it now.</t>
        </is>
      </c>
      <c r="R14" s="33" t="inlineStr">
        <is>
          <t>Full class-level definition, parent, confidence and later-axiom notes are in Class Review.</t>
        </is>
      </c>
    </row>
    <row r="15" ht="28" customHeight="1">
      <c r="A15" s="33" t="inlineStr">
        <is>
          <t>1 - LOCAL IMPLEMENTATION</t>
        </is>
      </c>
      <c r="B15" s="33" t="inlineStr">
        <is>
          <t>MKB-000202</t>
        </is>
      </c>
      <c r="C15" s="33" t="inlineStr">
        <is>
          <t>Process</t>
        </is>
      </c>
      <c r="D15" s="33" t="inlineStr">
        <is>
          <t>repurposing process</t>
        </is>
      </c>
      <c r="E15" s="33" t="inlineStr">
        <is>
          <t>ALIGN_TO_LOCAL_CANONICAL</t>
        </is>
      </c>
      <c r="F15" s="33" t="inlineStr">
        <is>
          <t>MatSus</t>
        </is>
      </c>
      <c r="G15" s="33" t="inlineStr">
        <is>
          <t>https://w3id.org/pmd/matsus/RepurposingProcess</t>
        </is>
      </c>
      <c r="H15" s="33" t="inlineStr">
        <is>
          <t>COB planned process (COB_0000082)</t>
        </is>
      </c>
      <c r="I15" s="33" t="inlineStr">
        <is>
          <t>IMPLEMENTED_IN_MATSUS_EDIT</t>
        </is>
      </c>
      <c r="J15" s="33" t="inlineStr">
        <is>
          <t>https://w3id.org/pmd/matsus/RepurposingProcess</t>
        </is>
      </c>
      <c r="K15" s="33" t="inlineStr">
        <is>
          <t>RepurposingProcess: ACCEPT — the new-purpose distinction is captured clearly.</t>
        </is>
      </c>
      <c r="L15" s="33" t="inlineStr">
        <is>
          <t>RepurposingProcess SubClassOf COB planned process.</t>
        </is>
      </c>
      <c r="M15" s="33" t="inlineStr">
        <is>
          <t>NO - DRAFT ONLY</t>
        </is>
      </c>
      <c r="N15" s="33" t="inlineStr">
        <is>
          <t>FULL BUILD TODO</t>
        </is>
      </c>
      <c r="O15" s="33" t="n"/>
      <c r="P15" s="33" t="inlineStr">
        <is>
          <t>DRAFT_READY_FOR_IR2</t>
        </is>
      </c>
      <c r="Q15" s="33" t="inlineStr">
        <is>
          <t>Represent new intended purpose and prior intended purpose in a later relation/SHACL pattern.</t>
        </is>
      </c>
      <c r="R15" s="33" t="inlineStr">
        <is>
          <t>Full class-level definition, parent, confidence and later-axiom notes are in Class Review.</t>
        </is>
      </c>
    </row>
    <row r="16" ht="56" customHeight="1">
      <c r="A16" s="33" t="inlineStr">
        <is>
          <t>1 - LOCAL IMPLEMENTATION</t>
        </is>
      </c>
      <c r="B16" s="33" t="inlineStr">
        <is>
          <t>MKB-000247</t>
        </is>
      </c>
      <c r="C16" s="33" t="inlineStr">
        <is>
          <t>Process</t>
        </is>
      </c>
      <c r="D16" s="33" t="inlineStr">
        <is>
          <t>textile material flow process</t>
        </is>
      </c>
      <c r="E16" s="33" t="inlineStr">
        <is>
          <t>IMPLEMENT_LOCAL_MATSUS_TERM</t>
        </is>
      </c>
      <c r="F16" s="33" t="inlineStr">
        <is>
          <t>MatSus; later LOG review</t>
        </is>
      </c>
      <c r="G16" s="33" t="inlineStr">
        <is>
          <t>https://w3id.org/pmd/matsus/TextileMaterialFlowProcess</t>
        </is>
      </c>
      <c r="H16" s="33" t="inlineStr">
        <is>
          <t>MatSus material flow process</t>
        </is>
      </c>
      <c r="I16" s="33" t="inlineStr">
        <is>
          <t>IMPLEMENTED_IN_MATSUS_EDIT</t>
        </is>
      </c>
      <c r="J16" s="33" t="inlineStr">
        <is>
          <t>https://w3id.org/pmd/matsus/MaterialFlowProcess | https://w3id.org/pmd/matsus/TextileMaterialFlowProcess</t>
        </is>
      </c>
      <c r="K16" s="33" t="inlineStr">
        <is>
          <t>MaterialFlowProcess: ACCEPT PROVISIONALLY — generic process parent is safe, but LOG alignment should be revisited before strengthening the hierarchy. | TextileMaterialFlowProcess: ACCEPT PROVISIONALLY — correct material-specific specialization of the provisional flow process.</t>
        </is>
      </c>
      <c r="L16" s="33" t="inlineStr">
        <is>
          <t>MaterialFlowProcess SubClassOf BFO process. | TextileMaterialFlowProcess SubClassOf MaterialFlowProcess.</t>
        </is>
      </c>
      <c r="M16" s="33" t="inlineStr">
        <is>
          <t>NO - DRAFT ONLY</t>
        </is>
      </c>
      <c r="N16" s="33" t="inlineStr">
        <is>
          <t>FULL BUILD TODO</t>
        </is>
      </c>
      <c r="O16" s="33" t="n"/>
      <c r="P16" s="33" t="inlineStr">
        <is>
          <t>DRAFT_READY_FOR_IR2</t>
        </is>
      </c>
      <c r="Q16" s="33" t="inlineStr">
        <is>
          <t>Ask LOG colleagues whether MaterialFlowProcess should move upstream after a supply-chain competency example is available.</t>
        </is>
      </c>
      <c r="R16" s="33" t="inlineStr">
        <is>
          <t>Full class-level definition, parent, confidence and later-axiom notes are in Class Review.</t>
        </is>
      </c>
    </row>
    <row r="17" ht="28" customHeight="1">
      <c r="A17" s="33" t="inlineStr">
        <is>
          <t>1 - LOCAL IMPLEMENTATION</t>
        </is>
      </c>
      <c r="B17" s="33" t="inlineStr">
        <is>
          <t>MKB-000002</t>
        </is>
      </c>
      <c r="C17" s="33" t="inlineStr">
        <is>
          <t>Quality/data/pattern</t>
        </is>
      </c>
      <c r="D17" s="33" t="inlineStr">
        <is>
          <t>decoupling</t>
        </is>
      </c>
      <c r="E17" s="33" t="inlineStr">
        <is>
          <t>ALIGN_TO_LOCAL_CANONICAL</t>
        </is>
      </c>
      <c r="F17" s="33" t="inlineStr">
        <is>
          <t>MatSus</t>
        </is>
      </c>
      <c r="G17" s="33" t="inlineStr">
        <is>
          <t>https://w3id.org/pmd/matsus/Decoupling</t>
        </is>
      </c>
      <c r="H17" s="33" t="inlineStr">
        <is>
          <t>IAO data item (IAO_0000027)</t>
        </is>
      </c>
      <c r="I17" s="33" t="inlineStr">
        <is>
          <t>IMPLEMENTED_CANONICAL_DEFERRED_NARROWER</t>
        </is>
      </c>
      <c r="J17" s="33" t="inlineStr">
        <is>
          <t>https://w3id.org/pmd/matsus/Decoupling</t>
        </is>
      </c>
      <c r="K17" s="33" t="inlineStr">
        <is>
          <t>Decoupling: ACCEPT — the definition makes clear that the class records a comparative relationship; absolute decoupling remains correctly deferred.</t>
        </is>
      </c>
      <c r="L17" s="33" t="inlineStr">
        <is>
          <t>Decoupling SubClassOf IAO data item.</t>
        </is>
      </c>
      <c r="M17" s="33" t="inlineStr">
        <is>
          <t>NO - DRAFT ONLY</t>
        </is>
      </c>
      <c r="N17" s="33" t="inlineStr">
        <is>
          <t>FULL BUILD TODO</t>
        </is>
      </c>
      <c r="O17" s="33" t="n"/>
      <c r="P17" s="33" t="inlineStr">
        <is>
          <t>DRAFT_READY_FOR_IR2</t>
        </is>
      </c>
      <c r="Q17" s="33" t="inlineStr">
        <is>
          <t>Defer AbsoluteDecoupling until the ratio/baseline pattern is tested.</t>
        </is>
      </c>
      <c r="R17" s="33" t="inlineStr">
        <is>
          <t>Full class-level definition, parent, confidence and later-axiom notes are in Class Review.</t>
        </is>
      </c>
    </row>
    <row r="18" ht="28" customHeight="1">
      <c r="A18" s="33" t="inlineStr">
        <is>
          <t>1 - LOCAL IMPLEMENTATION</t>
        </is>
      </c>
      <c r="B18" s="33" t="inlineStr">
        <is>
          <t>MKB-000069</t>
        </is>
      </c>
      <c r="C18" s="33" t="inlineStr">
        <is>
          <t>Quality/data/pattern</t>
        </is>
      </c>
      <c r="D18" s="33" t="inlineStr">
        <is>
          <t>decoupling</t>
        </is>
      </c>
      <c r="E18" s="33" t="inlineStr">
        <is>
          <t>IMPLEMENT_LOCAL_MATSUS_TERM</t>
        </is>
      </c>
      <c r="F18" s="33" t="inlineStr">
        <is>
          <t>MatSus</t>
        </is>
      </c>
      <c r="G18" s="33" t="inlineStr">
        <is>
          <t>https://w3id.org/pmd/matsus/Decoupling</t>
        </is>
      </c>
      <c r="H18" s="33" t="inlineStr">
        <is>
          <t>IAO data item (IAO_0000027)</t>
        </is>
      </c>
      <c r="I18" s="33" t="inlineStr">
        <is>
          <t>IMPLEMENTED_IN_MATSUS_EDIT</t>
        </is>
      </c>
      <c r="J18" s="33" t="inlineStr">
        <is>
          <t>https://w3id.org/pmd/matsus/Decoupling</t>
        </is>
      </c>
      <c r="K18" s="33" t="inlineStr">
        <is>
          <t>Decoupling: ACCEPT — the definition makes clear that the class records a comparative relationship; absolute decoupling remains correctly deferred.</t>
        </is>
      </c>
      <c r="L18" s="33" t="inlineStr">
        <is>
          <t>Decoupling SubClassOf IAO data item.</t>
        </is>
      </c>
      <c r="M18" s="33" t="inlineStr">
        <is>
          <t>NO - DRAFT ONLY</t>
        </is>
      </c>
      <c r="N18" s="33" t="inlineStr">
        <is>
          <t>FULL BUILD TODO</t>
        </is>
      </c>
      <c r="O18" s="33" t="n"/>
      <c r="P18" s="33" t="inlineStr">
        <is>
          <t>DRAFT_READY_FOR_IR2</t>
        </is>
      </c>
      <c r="Q18" s="33" t="inlineStr">
        <is>
          <t>Test with one economic-output/resource-input time-series example.</t>
        </is>
      </c>
      <c r="R18" s="33" t="inlineStr">
        <is>
          <t>Full class-level definition, parent, confidence and later-axiom notes are in Class Review.</t>
        </is>
      </c>
    </row>
    <row r="19" ht="28" customHeight="1">
      <c r="A19" s="33" t="inlineStr">
        <is>
          <t>1 - LOCAL IMPLEMENTATION</t>
        </is>
      </c>
      <c r="B19" s="33" t="inlineStr">
        <is>
          <t>MKB-000146</t>
        </is>
      </c>
      <c r="C19" s="33" t="inlineStr">
        <is>
          <t>Quality/data/pattern</t>
        </is>
      </c>
      <c r="D19" s="33" t="inlineStr">
        <is>
          <t>modularity</t>
        </is>
      </c>
      <c r="E19" s="33" t="inlineStr">
        <is>
          <t>IMPLEMENT_LOCAL_MATSUS_TERM</t>
        </is>
      </c>
      <c r="F19" s="33" t="inlineStr">
        <is>
          <t>MatSus</t>
        </is>
      </c>
      <c r="G19" s="33" t="inlineStr">
        <is>
          <t>https://w3id.org/pmd/matsus/Modularity</t>
        </is>
      </c>
      <c r="H19" s="33" t="inlineStr">
        <is>
          <t>BFO quality (BFO_0000019)</t>
        </is>
      </c>
      <c r="I19" s="33" t="inlineStr">
        <is>
          <t>IMPLEMENTED_IN_MATSUS_EDIT</t>
        </is>
      </c>
      <c r="J19" s="33" t="inlineStr">
        <is>
          <t>https://w3id.org/pmd/matsus/Modularity</t>
        </is>
      </c>
      <c r="K19" s="33" t="inlineStr">
        <is>
          <t>Modularity: ACCEPT — degree of modular organization is appropriately represented as a quality.</t>
        </is>
      </c>
      <c r="L19" s="33" t="inlineStr">
        <is>
          <t>Modularity SubClassOf BFO quality.</t>
        </is>
      </c>
      <c r="M19" s="33" t="inlineStr">
        <is>
          <t>NO - DRAFT ONLY</t>
        </is>
      </c>
      <c r="N19" s="33" t="inlineStr">
        <is>
          <t>FULL BUILD TODO</t>
        </is>
      </c>
      <c r="O19" s="33" t="n"/>
      <c r="P19" s="33" t="inlineStr">
        <is>
          <t>DRAFT_READY_FOR_IR2</t>
        </is>
      </c>
      <c r="Q19" s="33" t="inlineStr">
        <is>
          <t>Add a measurement datum/method only when a modularity metric is selected.</t>
        </is>
      </c>
      <c r="R19" s="33" t="inlineStr">
        <is>
          <t>Full class-level definition, parent, confidence and later-axiom notes are in Class Review.</t>
        </is>
      </c>
    </row>
    <row r="20" ht="28" customHeight="1">
      <c r="A20" s="33" t="inlineStr">
        <is>
          <t>1 - LOCAL IMPLEMENTATION</t>
        </is>
      </c>
      <c r="B20" s="33" t="inlineStr">
        <is>
          <t>MKB-000205</t>
        </is>
      </c>
      <c r="C20" s="33" t="inlineStr">
        <is>
          <t>Quality/data/pattern</t>
        </is>
      </c>
      <c r="D20" s="33" t="inlineStr">
        <is>
          <t>resource efficiency datum</t>
        </is>
      </c>
      <c r="E20" s="33" t="inlineStr">
        <is>
          <t>IMPLEMENT_LOCAL_MATSUS_TERM</t>
        </is>
      </c>
      <c r="F20" s="33" t="inlineStr">
        <is>
          <t>MatSus</t>
        </is>
      </c>
      <c r="G20" s="33" t="inlineStr">
        <is>
          <t>https://w3id.org/pmd/matsus/ResourceEfficiencyDatum</t>
        </is>
      </c>
      <c r="H20" s="33" t="inlineStr">
        <is>
          <t>IAO data item (IAO_0000027)</t>
        </is>
      </c>
      <c r="I20" s="33" t="inlineStr">
        <is>
          <t>IMPLEMENTED_IN_MATSUS_EDIT</t>
        </is>
      </c>
      <c r="J20" s="33" t="inlineStr">
        <is>
          <t>https://w3id.org/pmd/matsus/ResourceEfficiencyDatum</t>
        </is>
      </c>
      <c r="K20" s="33" t="inlineStr">
        <is>
          <t>ResourceEfficiencyDatum: ACCEPT — the class is a calculated/result datum, not an intrinsic universal ‘efficiency’.</t>
        </is>
      </c>
      <c r="L20" s="33" t="inlineStr">
        <is>
          <t>ResourceEfficiencyDatum SubClassOf IAO data item.</t>
        </is>
      </c>
      <c r="M20" s="33" t="inlineStr">
        <is>
          <t>NO - DRAFT ONLY</t>
        </is>
      </c>
      <c r="N20" s="33" t="inlineStr">
        <is>
          <t>FULL BUILD TODO</t>
        </is>
      </c>
      <c r="O20" s="33" t="n"/>
      <c r="P20" s="33" t="inlineStr">
        <is>
          <t>DRAFT_READY_FOR_IR2</t>
        </is>
      </c>
      <c r="Q20" s="33" t="inlineStr">
        <is>
          <t>Use material resource efficiency as a subtype and add energy/resource subtypes only from competency queries.</t>
        </is>
      </c>
      <c r="R20" s="33" t="inlineStr">
        <is>
          <t>Full class-level definition, parent, confidence and later-axiom notes are in Class Review.</t>
        </is>
      </c>
    </row>
    <row r="21" ht="56" customHeight="1">
      <c r="A21" s="33" t="inlineStr">
        <is>
          <t>1 - LOCAL IMPLEMENTATION</t>
        </is>
      </c>
      <c r="B21" s="33" t="inlineStr">
        <is>
          <t>MKB-000063</t>
        </is>
      </c>
      <c r="C21" s="33" t="inlineStr">
        <is>
          <t>Waste package</t>
        </is>
      </c>
      <c r="D21" s="33" t="inlineStr">
        <is>
          <t>construction and demolition waste</t>
        </is>
      </c>
      <c r="E21" s="33" t="inlineStr">
        <is>
          <t>IMPLEMENT_LOCAL_MATSUS_TERM</t>
        </is>
      </c>
      <c r="F21" s="33" t="inlineStr">
        <is>
          <t>MatSus</t>
        </is>
      </c>
      <c r="G21" s="33" t="inlineStr">
        <is>
          <t>https://w3id.org/pmd/matsus/ConstructionAndDemolitionWaste</t>
        </is>
      </c>
      <c r="H21" s="33" t="inlineStr">
        <is>
          <t>MatSus waste material (provisional PMDco handoff anchor)</t>
        </is>
      </c>
      <c r="I21" s="33" t="inlineStr">
        <is>
          <t>IMPLEMENTED_IN_MATSUS_EDIT (BATCH 2)</t>
        </is>
      </c>
      <c r="J21" s="33" t="inlineStr">
        <is>
          <t>https://w3id.org/pmd/matsus/MATSUS_0000009</t>
        </is>
      </c>
      <c r="K21" s="33" t="inlineStr">
        <is>
          <t>ConstructionAndDemolitionWaste: ACCEPT — clear waste subtype under the provisional waste-material anchor.</t>
        </is>
      </c>
      <c r="L21" s="33" t="inlineStr">
        <is>
          <t>ConstructionAndDemolitionWaste SubClassOf WasteMaterial.</t>
        </is>
      </c>
      <c r="M21" s="33" t="inlineStr">
        <is>
          <t>YES - MKB1 IR2 BATCH 2</t>
        </is>
      </c>
      <c r="N21"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1" s="33" t="inlineStr">
        <is>
          <t>https://github.com/materialdigital/core-ontology/issues/485 — provisional MatSus implementation proceeds while PMDco decides the anchors</t>
        </is>
      </c>
      <c r="P21" s="33" t="inlineStr">
        <is>
          <t>IMPLEMENTED_VALIDATED_WITH_BASELINE_EXPLAINED_WARNINGS</t>
        </is>
      </c>
      <c r="Q21" s="33" t="inlineStr">
        <is>
          <t>Ready for human pre-commit review; retain deferred modelling notes.</t>
        </is>
      </c>
      <c r="R21" s="33" t="inlineStr">
        <is>
          <t>Full class-level definition, parent, confidence and later-axiom notes are in Class Review.</t>
        </is>
      </c>
    </row>
    <row r="22" ht="56" customHeight="1">
      <c r="A22" s="33" t="inlineStr">
        <is>
          <t>1 - LOCAL IMPLEMENTATION</t>
        </is>
      </c>
      <c r="B22" s="33" t="inlineStr">
        <is>
          <t>MKB-000085</t>
        </is>
      </c>
      <c r="C22" s="33" t="inlineStr">
        <is>
          <t>Waste package</t>
        </is>
      </c>
      <c r="D22" s="33" t="inlineStr">
        <is>
          <t>waste elimination objective specification</t>
        </is>
      </c>
      <c r="E22" s="33" t="inlineStr">
        <is>
          <t>REFORMULATE_TO_SPECIFICATION_AND_IMPLEMENT</t>
        </is>
      </c>
      <c r="F22" s="33" t="inlineStr">
        <is>
          <t>MatSus</t>
        </is>
      </c>
      <c r="G22" s="33" t="inlineStr">
        <is>
          <t>https://w3id.org/pmd/matsus/WasteEliminationObjectiveSpecification</t>
        </is>
      </c>
      <c r="H22" s="33" t="inlineStr">
        <is>
          <t>IAO objective specification (IAO_0000005)</t>
        </is>
      </c>
      <c r="I22" s="33" t="inlineStr">
        <is>
          <t>IMPLEMENTED_IN_MATSUS_EDIT (BATCH 2)</t>
        </is>
      </c>
      <c r="J22" s="33" t="inlineStr">
        <is>
          <t>https://w3id.org/pmd/matsus/MATSUS_0000024</t>
        </is>
      </c>
      <c r="K22" s="33" t="inlineStr">
        <is>
          <t>WasteEliminationObjectiveSpecification: ACCEPT PROVISIONALLY — implemented for intended absence of specified waste output within a stated scope; pollution-elimination modelling is deferred.</t>
        </is>
      </c>
      <c r="L22" s="33" t="inlineStr">
        <is>
          <t>MATSUS_0000024 SubClassOf IAO_0000005.</t>
        </is>
      </c>
      <c r="M22" s="33" t="inlineStr">
        <is>
          <t>YES - MKB1 IR2 BATCH 2</t>
        </is>
      </c>
      <c r="N22"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2" s="33" t="inlineStr">
        <is>
          <t>https://github.com/materialdigital/core-ontology/issues/485 — provisional MatSus implementation proceeds while PMDco decides the anchors</t>
        </is>
      </c>
      <c r="P22" s="33" t="inlineStr">
        <is>
          <t>IMPLEMENTED_VALIDATED_WITH_BASELINE_EXPLAINED_WARNINGS</t>
        </is>
      </c>
      <c r="Q22" s="33" t="inlineStr">
        <is>
          <t>Implemented for waste elimination only. Retain MKB-000085 provenance; defer pollution-elimination modelling until a suitable pollution target pattern is established.</t>
        </is>
      </c>
      <c r="R22" s="33" t="inlineStr">
        <is>
          <t>Full class-level definition, parent, confidence and later-axiom notes are in Class Review.</t>
        </is>
      </c>
    </row>
    <row r="23" ht="56" customHeight="1">
      <c r="A23" s="33" t="inlineStr">
        <is>
          <t>1 - LOCAL IMPLEMENTATION</t>
        </is>
      </c>
      <c r="B23" s="33" t="inlineStr">
        <is>
          <t>MKB-000144</t>
        </is>
      </c>
      <c r="C23" s="33" t="inlineStr">
        <is>
          <t>Waste package</t>
        </is>
      </c>
      <c r="D23" s="33" t="inlineStr">
        <is>
          <t>mineral waste</t>
        </is>
      </c>
      <c r="E23" s="33" t="inlineStr">
        <is>
          <t>IMPLEMENT_LOCAL_MATSUS_TERM</t>
        </is>
      </c>
      <c r="F23" s="33" t="inlineStr">
        <is>
          <t>MatSus</t>
        </is>
      </c>
      <c r="G23" s="33" t="inlineStr">
        <is>
          <t>https://w3id.org/pmd/matsus/MineralWaste</t>
        </is>
      </c>
      <c r="H23" s="33" t="inlineStr">
        <is>
          <t>MatSus waste material (provisional PMDco handoff anchor)</t>
        </is>
      </c>
      <c r="I23" s="33" t="inlineStr">
        <is>
          <t>IMPLEMENTED_IN_MATSUS_EDIT (BATCH 2)</t>
        </is>
      </c>
      <c r="J23" s="33" t="inlineStr">
        <is>
          <t>https://w3id.org/pmd/matsus/MATSUS_0000010</t>
        </is>
      </c>
      <c r="K23" s="33" t="inlineStr">
        <is>
          <t>MineralWaste: ACCEPT PROVISIONALLY — parent is correct; retain the source scope because ‘predominantly mineral’ may require a threshold or classification rule.</t>
        </is>
      </c>
      <c r="L23" s="33" t="inlineStr">
        <is>
          <t>MineralWaste SubClassOf WasteMaterial.</t>
        </is>
      </c>
      <c r="M23" s="33" t="inlineStr">
        <is>
          <t>YES - MKB1 IR2 BATCH 2</t>
        </is>
      </c>
      <c r="N23"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3" s="33" t="inlineStr">
        <is>
          <t>https://github.com/materialdigital/core-ontology/issues/485 — provisional MatSus implementation proceeds while PMDco decides the anchors</t>
        </is>
      </c>
      <c r="P23" s="33" t="inlineStr">
        <is>
          <t>IMPLEMENTED_VALIDATED_WITH_BASELINE_EXPLAINED_WARNINGS</t>
        </is>
      </c>
      <c r="Q23" s="33" t="inlineStr">
        <is>
          <t>Ready for human pre-commit review; retain deferred modelling notes.</t>
        </is>
      </c>
      <c r="R23" s="33" t="inlineStr">
        <is>
          <t>Full class-level definition, parent, confidence and later-axiom notes are in Class Review.</t>
        </is>
      </c>
    </row>
    <row r="24" ht="56" customHeight="1">
      <c r="A24" s="33" t="inlineStr">
        <is>
          <t>1 - LOCAL IMPLEMENTATION</t>
        </is>
      </c>
      <c r="B24" s="33" t="inlineStr">
        <is>
          <t>MKB-000148</t>
        </is>
      </c>
      <c r="C24" s="33" t="inlineStr">
        <is>
          <t>Waste package</t>
        </is>
      </c>
      <c r="D24" s="33" t="inlineStr">
        <is>
          <t>municipal waste</t>
        </is>
      </c>
      <c r="E24" s="33" t="inlineStr">
        <is>
          <t>IMPLEMENT_LOCAL_MATSUS_TERM</t>
        </is>
      </c>
      <c r="F24" s="33" t="inlineStr">
        <is>
          <t>MatSus</t>
        </is>
      </c>
      <c r="G24" s="33" t="inlineStr">
        <is>
          <t>https://w3id.org/pmd/matsus/MunicipalWaste</t>
        </is>
      </c>
      <c r="H24" s="33" t="inlineStr">
        <is>
          <t>MatSus waste material (provisional PMDco handoff anchor)</t>
        </is>
      </c>
      <c r="I24" s="33" t="inlineStr">
        <is>
          <t>IMPLEMENTED_IN_MATSUS_EDIT (BATCH 2)</t>
        </is>
      </c>
      <c r="J24" s="33" t="inlineStr">
        <is>
          <t>https://w3id.org/pmd/matsus/MATSUS_0000011</t>
        </is>
      </c>
      <c r="K24" s="33" t="inlineStr">
        <is>
          <t>MunicipalWaste: ACCEPT — definition and parent match the intended household/similar-source scope.</t>
        </is>
      </c>
      <c r="L24" s="33" t="inlineStr">
        <is>
          <t>MunicipalWaste SubClassOf WasteMaterial.</t>
        </is>
      </c>
      <c r="M24" s="33" t="inlineStr">
        <is>
          <t>YES - MKB1 IR2 BATCH 2</t>
        </is>
      </c>
      <c r="N24"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4" s="33" t="inlineStr">
        <is>
          <t>https://github.com/materialdigital/core-ontology/issues/485 — provisional MatSus implementation proceeds while PMDco decides the anchors</t>
        </is>
      </c>
      <c r="P24" s="33" t="inlineStr">
        <is>
          <t>IMPLEMENTED_VALIDATED_WITH_BASELINE_EXPLAINED_WARNINGS</t>
        </is>
      </c>
      <c r="Q24" s="33" t="inlineStr">
        <is>
          <t>Ready for human pre-commit review; retain deferred modelling notes.</t>
        </is>
      </c>
      <c r="R24" s="33" t="inlineStr">
        <is>
          <t>Full class-level definition, parent, confidence and later-axiom notes are in Class Review.</t>
        </is>
      </c>
    </row>
    <row r="25" ht="56" customHeight="1">
      <c r="A25" s="33" t="inlineStr">
        <is>
          <t>1 - LOCAL IMPLEMENTATION</t>
        </is>
      </c>
      <c r="B25" s="33" t="inlineStr">
        <is>
          <t>MKB-000155</t>
        </is>
      </c>
      <c r="C25" s="33" t="inlineStr">
        <is>
          <t>Waste package</t>
        </is>
      </c>
      <c r="D25" s="33" t="inlineStr">
        <is>
          <t>packaging waste</t>
        </is>
      </c>
      <c r="E25" s="33" t="inlineStr">
        <is>
          <t>IMPLEMENT_LOCAL_MATSUS_TERM</t>
        </is>
      </c>
      <c r="F25" s="33" t="inlineStr">
        <is>
          <t>MatSus</t>
        </is>
      </c>
      <c r="G25" s="33" t="inlineStr">
        <is>
          <t>https://w3id.org/pmd/matsus/PackagingWaste</t>
        </is>
      </c>
      <c r="H25" s="33" t="inlineStr">
        <is>
          <t>MatSus waste material (provisional PMDco handoff anchor)</t>
        </is>
      </c>
      <c r="I25" s="33" t="inlineStr">
        <is>
          <t>IMPLEMENTED_IN_MATSUS_EDIT (BATCH 2)</t>
        </is>
      </c>
      <c r="J25" s="33" t="inlineStr">
        <is>
          <t>https://w3id.org/pmd/matsus/MATSUS_0000012</t>
        </is>
      </c>
      <c r="K25" s="33" t="inlineStr">
        <is>
          <t>PackagingWaste: ACCEPT — implemented with the selected source-aligned definition; production-residue exclusion remains an editorial constraint pending a validated logical pattern.</t>
        </is>
      </c>
      <c r="L25" s="33" t="inlineStr">
        <is>
          <t>PackagingWaste SubClassOf WasteMaterial.</t>
        </is>
      </c>
      <c r="M25" s="33" t="inlineStr">
        <is>
          <t>YES - MKB1 IR2 BATCH 2</t>
        </is>
      </c>
      <c r="N25"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5" s="33" t="inlineStr">
        <is>
          <t>https://github.com/materialdigital/core-ontology/issues/485 — provisional MatSus implementation proceeds while PMDco decides the anchors</t>
        </is>
      </c>
      <c r="P25" s="33" t="inlineStr">
        <is>
          <t>IMPLEMENTED_VALIDATED_WITH_BASELINE_EXPLAINED_WARNINGS</t>
        </is>
      </c>
      <c r="Q25" s="33" t="inlineStr">
        <is>
          <t>Ready for human pre-commit review; retain deferred modelling notes.</t>
        </is>
      </c>
      <c r="R25" s="33" t="inlineStr">
        <is>
          <t>Full class-level definition, parent, confidence and later-axiom notes are in Class Review.</t>
        </is>
      </c>
    </row>
    <row r="26" ht="56" customHeight="1">
      <c r="A26" s="33" t="inlineStr">
        <is>
          <t>1 - LOCAL IMPLEMENTATION</t>
        </is>
      </c>
      <c r="B26" s="33" t="inlineStr">
        <is>
          <t>MKB-000236</t>
        </is>
      </c>
      <c r="C26" s="33" t="inlineStr">
        <is>
          <t>Waste package</t>
        </is>
      </c>
      <c r="D26" s="33" t="inlineStr">
        <is>
          <t>waste analysis + structural waste analysis</t>
        </is>
      </c>
      <c r="E26" s="33" t="inlineStr">
        <is>
          <t>IMPLEMENT_LOCAL_MATSUS_PATTERN</t>
        </is>
      </c>
      <c r="F26" s="33" t="inlineStr">
        <is>
          <t>MatSus</t>
        </is>
      </c>
      <c r="G26" s="33" t="inlineStr">
        <is>
          <t>https://w3id.org/pmd/matsus/StructuralWasteAnalysis</t>
        </is>
      </c>
      <c r="H26" s="33" t="inlineStr">
        <is>
          <t>OBI assay (OBI_0000070)</t>
        </is>
      </c>
      <c r="I26" s="33" t="inlineStr">
        <is>
          <t>IMPLEMENTED_IN_MATSUS_EDIT (BATCH 2)</t>
        </is>
      </c>
      <c r="J26" s="33" t="inlineStr">
        <is>
          <t>https://w3id.org/pmd/matsus/MATSUS_0000025 | https://w3id.org/pmd/matsus/MATSUS_0000026</t>
        </is>
      </c>
      <c r="K26" s="33" t="inlineStr">
        <is>
          <t>WasteAnalysis: ACCEPT — implemented as an OBI assay. | StructuralWasteAnalysis: ACCEPT — definition narrowed to composition, organization, or distribution of material constituents; recurring-source analysis is deferred as a sibling.</t>
        </is>
      </c>
      <c r="L26" s="33" t="inlineStr">
        <is>
          <t>MATSUS_0000025 SubClassOf OBI_0000070. | MATSUS_0000026 SubClassOf MATSUS_0000025.</t>
        </is>
      </c>
      <c r="M26" s="33" t="inlineStr">
        <is>
          <t>YES - MKB1 IR2 BATCH 2</t>
        </is>
      </c>
      <c r="N26"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6" s="33" t="inlineStr">
        <is>
          <t>https://github.com/materialdigital/core-ontology/issues/485 — provisional MatSus implementation proceeds while PMDco decides the anchors</t>
        </is>
      </c>
      <c r="P26" s="33" t="inlineStr">
        <is>
          <t>IMPLEMENTED_VALIDATED_WITH_BASELINE_EXPLAINED_WARNINGS</t>
        </is>
      </c>
      <c r="Q26" s="33" t="inlineStr">
        <is>
          <t>Ready for human pre-commit review; retain deferred modelling notes.</t>
        </is>
      </c>
      <c r="R26" s="33" t="inlineStr">
        <is>
          <t>Full class-level definition, parent, confidence and later-axiom notes are in Class Review.</t>
        </is>
      </c>
    </row>
    <row r="27" ht="56" customHeight="1">
      <c r="A27" s="33" t="inlineStr">
        <is>
          <t>1 - LOCAL IMPLEMENTATION</t>
        </is>
      </c>
      <c r="B27" s="33" t="inlineStr">
        <is>
          <t>MKB-000249</t>
        </is>
      </c>
      <c r="C27" s="33" t="inlineStr">
        <is>
          <t>Waste package</t>
        </is>
      </c>
      <c r="D27" s="33" t="inlineStr">
        <is>
          <t>textile waste</t>
        </is>
      </c>
      <c r="E27" s="33" t="inlineStr">
        <is>
          <t>IMPLEMENT_LOCAL_MATSUS_TERM</t>
        </is>
      </c>
      <c r="F27" s="33" t="inlineStr">
        <is>
          <t>MatSus</t>
        </is>
      </c>
      <c r="G27" s="33" t="inlineStr">
        <is>
          <t>https://w3id.org/pmd/matsus/TextileWaste</t>
        </is>
      </c>
      <c r="H27" s="33" t="inlineStr">
        <is>
          <t>MatSus waste material (provisional PMDco handoff anchor)</t>
        </is>
      </c>
      <c r="I27" s="33" t="inlineStr">
        <is>
          <t>IMPLEMENTED_IN_MATSUS_EDIT (BATCH 2)</t>
        </is>
      </c>
      <c r="J27" s="33" t="inlineStr">
        <is>
          <t>https://w3id.org/pmd/matsus/MATSUS_0000013</t>
        </is>
      </c>
      <c r="K27" s="33" t="inlineStr">
        <is>
          <t>TextileWaste: ACCEPT PROVISIONALLY — usable broad subtype; keep source-specific textile composition/product criteria outside the core definition for now.</t>
        </is>
      </c>
      <c r="L27" s="33" t="inlineStr">
        <is>
          <t>TextileWaste SubClassOf WasteMaterial.</t>
        </is>
      </c>
      <c r="M27" s="33" t="inlineStr">
        <is>
          <t>YES - MKB1 IR2 BATCH 2</t>
        </is>
      </c>
      <c r="N27"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7" s="33" t="inlineStr">
        <is>
          <t>https://github.com/materialdigital/core-ontology/issues/485 — provisional MatSus implementation proceeds while PMDco decides the anchors</t>
        </is>
      </c>
      <c r="P27" s="33" t="inlineStr">
        <is>
          <t>IMPLEMENTED_VALIDATED_WITH_BASELINE_EXPLAINED_WARNINGS</t>
        </is>
      </c>
      <c r="Q27" s="33" t="inlineStr">
        <is>
          <t>Ready for human pre-commit review; retain deferred modelling notes.</t>
        </is>
      </c>
      <c r="R27" s="33" t="inlineStr">
        <is>
          <t>Full class-level definition, parent, confidence and later-axiom notes are in Class Review.</t>
        </is>
      </c>
    </row>
    <row r="28" ht="56" customHeight="1">
      <c r="A28" s="33" t="inlineStr">
        <is>
          <t>1 - LOCAL IMPLEMENTATION</t>
        </is>
      </c>
      <c r="B28" s="33" t="inlineStr">
        <is>
          <t>MKB-000263</t>
        </is>
      </c>
      <c r="C28" s="33" t="inlineStr">
        <is>
          <t>Waste package</t>
        </is>
      </c>
      <c r="D28" s="33" t="inlineStr">
        <is>
          <t>waste generation process</t>
        </is>
      </c>
      <c r="E28" s="33" t="inlineStr">
        <is>
          <t>IMPLEMENT_LOCAL_MATSUS_TERM</t>
        </is>
      </c>
      <c r="F28" s="33" t="inlineStr">
        <is>
          <t>MatSus</t>
        </is>
      </c>
      <c r="G28" s="33" t="inlineStr">
        <is>
          <t>https://w3id.org/pmd/matsus/WasteGenerationProcess</t>
        </is>
      </c>
      <c r="H28" s="33" t="inlineStr">
        <is>
          <t>BFO process (BFO_0000015)</t>
        </is>
      </c>
      <c r="I28" s="33" t="inlineStr">
        <is>
          <t>IMPLEMENTED_IN_MATSUS_EDIT (BATCH 2)</t>
        </is>
      </c>
      <c r="J28" s="33" t="inlineStr">
        <is>
          <t>https://w3id.org/pmd/matsus/MATSUS_0000019</t>
        </is>
      </c>
      <c r="K28" s="33" t="inlineStr">
        <is>
          <t>WasteGenerationProcess: ACCEPT — the general process parent avoids incorrectly assuming intentional production.</t>
        </is>
      </c>
      <c r="L28" s="33" t="inlineStr">
        <is>
          <t>MATSUS_0000019 SubClassOf BFO_0000015; MATSUS_0000019 SubClassOf RO_0002234 some MATSUS_0000008.</t>
        </is>
      </c>
      <c r="M28" s="33" t="inlineStr">
        <is>
          <t>YES - MKB1 IR2 BATCH 2</t>
        </is>
      </c>
      <c r="N28"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8" s="33" t="inlineStr">
        <is>
          <t>https://github.com/materialdigital/core-ontology/issues/485 — provisional MatSus implementation proceeds while PMDco decides the anchors</t>
        </is>
      </c>
      <c r="P28" s="33" t="inlineStr">
        <is>
          <t>IMPLEMENTED_VALIDATED_WITH_BASELINE_EXPLAINED_WARNINGS</t>
        </is>
      </c>
      <c r="Q28" s="33" t="inlineStr">
        <is>
          <t>Ready for human pre-commit review; retain deferred modelling notes.</t>
        </is>
      </c>
      <c r="R28" s="33" t="inlineStr">
        <is>
          <t>Full class-level definition, parent, confidence and later-axiom notes are in Class Review.</t>
        </is>
      </c>
    </row>
    <row r="29" ht="56" customHeight="1">
      <c r="A29" s="33" t="inlineStr">
        <is>
          <t>1 - LOCAL IMPLEMENTATION</t>
        </is>
      </c>
      <c r="B29" s="33" t="inlineStr">
        <is>
          <t>MKB-000264</t>
        </is>
      </c>
      <c r="C29" s="33" t="inlineStr">
        <is>
          <t>Waste package</t>
        </is>
      </c>
      <c r="D29" s="33" t="inlineStr">
        <is>
          <t>waste prevention process + waste prevention measure specification</t>
        </is>
      </c>
      <c r="E29" s="33" t="inlineStr">
        <is>
          <t>IMPLEMENT_LOCAL_MATSUS_PATTERN</t>
        </is>
      </c>
      <c r="F29" s="33" t="inlineStr">
        <is>
          <t>MatSus</t>
        </is>
      </c>
      <c r="G29" s="33" t="inlineStr">
        <is>
          <t>https://w3id.org/pmd/matsus/WastePreventionProcess | https://w3id.org/pmd/matsus/WastePreventionMeasureSpecification</t>
        </is>
      </c>
      <c r="H29" s="33" t="inlineStr">
        <is>
          <t>COB planned process + IAO plan specification</t>
        </is>
      </c>
      <c r="I29" s="33" t="inlineStr">
        <is>
          <t>IMPLEMENTED_IN_MATSUS_EDIT (BATCH 2)</t>
        </is>
      </c>
      <c r="J29" s="33" t="inlineStr">
        <is>
          <t>https://w3id.org/pmd/matsus/MATSUS_0000020 | https://w3id.org/pmd/matsus/MATSUS_0000021</t>
        </is>
      </c>
      <c r="K29" s="33" t="inlineStr">
        <is>
          <t>WastePreventionProcess: ACCEPT — the process/specification split is correct. | WastePreventionMeasureSpecification: ACCEPT — it is an information artifact prescribing a prevention process, not the process itself.</t>
        </is>
      </c>
      <c r="L29" s="33" t="inlineStr">
        <is>
          <t>WastePreventionProcess SubClassOf COB planned process. | WastePreventionMeasureSpecification SubClassOf IAO plan specification.</t>
        </is>
      </c>
      <c r="M29" s="33" t="inlineStr">
        <is>
          <t>YES - MKB1 IR2 BATCH 2</t>
        </is>
      </c>
      <c r="N29"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29" s="33" t="inlineStr">
        <is>
          <t>https://github.com/materialdigital/core-ontology/issues/485 — provisional MatSus implementation proceeds while PMDco decides the anchors</t>
        </is>
      </c>
      <c r="P29" s="33" t="inlineStr">
        <is>
          <t>IMPLEMENTED_VALIDATED_WITH_BASELINE_EXPLAINED_WARNINGS</t>
        </is>
      </c>
      <c r="Q29" s="33" t="inlineStr">
        <is>
          <t>Ready for human pre-commit review; retain deferred modelling notes.</t>
        </is>
      </c>
      <c r="R29" s="33" t="inlineStr">
        <is>
          <t>Full class-level definition, parent, confidence and later-axiom notes are in Class Review.</t>
        </is>
      </c>
    </row>
    <row r="30" ht="56" customHeight="1">
      <c r="A30" s="33" t="inlineStr">
        <is>
          <t>1 - LOCAL IMPLEMENTATION</t>
        </is>
      </c>
      <c r="B30" s="33" t="inlineStr">
        <is>
          <t>MKB-000266</t>
        </is>
      </c>
      <c r="C30" s="33" t="inlineStr">
        <is>
          <t>Waste package</t>
        </is>
      </c>
      <c r="D30" s="33" t="inlineStr">
        <is>
          <t>zero-waste objective specification + zero-waste strategy specification</t>
        </is>
      </c>
      <c r="E30" s="33" t="inlineStr">
        <is>
          <t>IMPLEMENT_LOCAL_MATSUS_PATTERN</t>
        </is>
      </c>
      <c r="F30" s="33" t="inlineStr">
        <is>
          <t>MatSus</t>
        </is>
      </c>
      <c r="G30" s="33" t="inlineStr">
        <is>
          <t>https://w3id.org/pmd/matsus/ZeroWasteObjectiveSpecification | https://w3id.org/pmd/matsus/ZeroWasteStrategySpecification</t>
        </is>
      </c>
      <c r="H30" s="33" t="inlineStr">
        <is>
          <t>IAO objective specification + IAO plan specification</t>
        </is>
      </c>
      <c r="I30" s="33" t="inlineStr">
        <is>
          <t>IMPLEMENTED_IN_MATSUS_EDIT (BATCH 2)</t>
        </is>
      </c>
      <c r="J30" s="33" t="inlineStr">
        <is>
          <t>https://w3id.org/pmd/matsus/MATSUS_0000022 | https://w3id.org/pmd/matsus/MATSUS_0000023</t>
        </is>
      </c>
      <c r="K30" s="33" t="inlineStr">
        <is>
          <t>ZeroWasteObjectiveSpecification: ACCEPT — zero waste is correctly represented as a desired endpoint. | ZeroWasteStrategySpecification: ACCEPT — a strategy is correctly separated from the objective.</t>
        </is>
      </c>
      <c r="L30" s="33" t="inlineStr">
        <is>
          <t>ZeroWasteObjectiveSpecification SubClassOf IAO objective specification. | ZeroWasteStrategySpecification SubClassOf IAO plan specification.</t>
        </is>
      </c>
      <c r="M30" s="33" t="inlineStr">
        <is>
          <t>YES - MKB1 IR2 BATCH 2</t>
        </is>
      </c>
      <c r="N30"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c r="O30" s="33" t="inlineStr">
        <is>
          <t>https://github.com/materialdigital/core-ontology/issues/485 — provisional MatSus implementation proceeds while PMDco decides the anchors</t>
        </is>
      </c>
      <c r="P30" s="33" t="inlineStr">
        <is>
          <t>IMPLEMENTED_VALIDATED_WITH_BASELINE_EXPLAINED_WARNINGS</t>
        </is>
      </c>
      <c r="Q30" s="33" t="inlineStr">
        <is>
          <t>Ready for human pre-commit review; retain deferred modelling notes.</t>
        </is>
      </c>
      <c r="R30" s="33" t="inlineStr">
        <is>
          <t>Full class-level definition, parent, confidence and later-axiom notes are in Class Review.</t>
        </is>
      </c>
    </row>
    <row r="31" ht="56" customHeight="1">
      <c r="A31" s="33" t="inlineStr">
        <is>
          <t>2 - EXTERNAL HANDOFF</t>
        </is>
      </c>
      <c r="B31" s="33" t="inlineStr">
        <is>
          <t>MKB-000168</t>
        </is>
      </c>
      <c r="C31" s="33" t="inlineStr">
        <is>
          <t>Information/specification</t>
        </is>
      </c>
      <c r="D31" s="33" t="inlineStr">
        <is>
          <t>product specification</t>
        </is>
      </c>
      <c r="E31" s="33" t="inlineStr">
        <is>
          <t>DEFER_TO_PMDCO</t>
        </is>
      </c>
      <c r="F31" s="33" t="inlineStr">
        <is>
          <t>PMDco</t>
        </is>
      </c>
      <c r="G31" s="33" t="n"/>
      <c r="H31" s="33" t="inlineStr">
        <is>
          <t>Candidate sibling of PMD_0060006 device specification and PMD_0060007 material specification under IAO directive information entity</t>
        </is>
      </c>
      <c r="I31" s="33" t="inlineStr">
        <is>
          <t>EXTERNAL_HANDOFF</t>
        </is>
      </c>
      <c r="J31" s="33" t="inlineStr">
        <is>
          <t>N/A — PMDco IRI pending</t>
        </is>
      </c>
      <c r="K31" s="33" t="inlineStr">
        <is>
          <t>EXTERNAL PROPOSAL ACCEPTED — definition and proposed parent are coherent; await PMDco issue #487. Do not mint a MatSus duplicate.</t>
        </is>
      </c>
      <c r="L31" s="33" t="inlineStr">
        <is>
          <t>No MatSus axiom. Proposed PMDco subclass of specification document.</t>
        </is>
      </c>
      <c r="M31" s="33" t="inlineStr">
        <is>
          <t>N/A</t>
        </is>
      </c>
      <c r="N31" s="33" t="inlineStr">
        <is>
          <t>N/A</t>
        </is>
      </c>
      <c r="O31" s="33" t="inlineStr">
        <is>
          <t>https://github.com/materialdigital/core-ontology/issues/487</t>
        </is>
      </c>
      <c r="P31" s="33" t="inlineStr">
        <is>
          <t>ISSUE_SUBMITTED</t>
        </is>
      </c>
      <c r="Q31" s="33" t="inlineStr">
        <is>
          <t>PMDco issue #487 submitted for product specification. Await the PMDco decision; do not mint a duplicate MatSus class.</t>
        </is>
      </c>
      <c r="R31" s="33" t="inlineStr">
        <is>
          <t>Full class-level definition, parent, confidence and later-axiom notes are in Class Review.</t>
        </is>
      </c>
    </row>
    <row r="32" ht="42" customHeight="1">
      <c r="A32" s="33" t="inlineStr">
        <is>
          <t>2 - EXTERNAL HANDOFF</t>
        </is>
      </c>
      <c r="B32" s="33" t="inlineStr">
        <is>
          <t>MKB-000217</t>
        </is>
      </c>
      <c r="C32" s="33" t="inlineStr">
        <is>
          <t>Process</t>
        </is>
      </c>
      <c r="D32" s="33" t="inlineStr">
        <is>
          <t>reverse logistics process</t>
        </is>
      </c>
      <c r="E32" s="33" t="inlineStr">
        <is>
          <t>DEFER_TO_LOG</t>
        </is>
      </c>
      <c r="F32" s="33" t="inlineStr">
        <is>
          <t>LOG</t>
        </is>
      </c>
      <c r="G32" s="33" t="n"/>
      <c r="H32" s="33" t="inlineStr">
        <is>
          <t>LOG logistics process (LOG_1000120)</t>
        </is>
      </c>
      <c r="I32" s="33" t="inlineStr">
        <is>
          <t>EXTERNAL_HANDOFF</t>
        </is>
      </c>
      <c r="J32" s="33" t="inlineStr">
        <is>
          <t>N/A — LOG IRI pending</t>
        </is>
      </c>
      <c r="K32" s="33" t="inlineStr">
        <is>
          <t>EXTERNAL PARENT ACCEPTED; DEFINITION DEFERRED — the corrected concept is reverse logistics process, but the final wording belongs in the LOG issue.</t>
        </is>
      </c>
      <c r="L32" s="33" t="inlineStr">
        <is>
          <t>No MatSus axiom and no local duplicate. Proposed LOG subclass of logistics process.</t>
        </is>
      </c>
      <c r="M32" s="33" t="inlineStr">
        <is>
          <t>N/A</t>
        </is>
      </c>
      <c r="N32" s="33" t="inlineStr">
        <is>
          <t>N/A</t>
        </is>
      </c>
      <c r="O32" s="33" t="inlineStr">
        <is>
          <t>LOG issue pending</t>
        </is>
      </c>
      <c r="P32" s="33" t="inlineStr">
        <is>
          <t>LOG_ISSUE_PENDING</t>
        </is>
      </c>
      <c r="Q32" s="33" t="inlineStr">
        <is>
          <t>Open the LOG reverse-logistics issue when the contribution route is known; include take-back/return-flow examples and cross-link MatSus. This does not block MatSus IR2.</t>
        </is>
      </c>
      <c r="R32" s="33" t="inlineStr">
        <is>
          <t>Full class-level definition, parent, confidence and later-axiom notes are in Class Review.</t>
        </is>
      </c>
    </row>
    <row r="33" ht="42" customHeight="1">
      <c r="A33" s="33" t="inlineStr">
        <is>
          <t>3 - DEFERRED</t>
        </is>
      </c>
      <c r="B33" s="33" t="inlineStr">
        <is>
          <t>MKB-000307</t>
        </is>
      </c>
      <c r="C33" s="33" t="inlineStr">
        <is>
          <t>Information/specification</t>
        </is>
      </c>
      <c r="D33" s="33" t="inlineStr">
        <is>
          <t>end-user guidance about separate collection</t>
        </is>
      </c>
      <c r="E33" s="33" t="inlineStr">
        <is>
          <t>DEFER_MODELLING_USE_CASE</t>
        </is>
      </c>
      <c r="F33" s="33" t="inlineStr">
        <is>
          <t>MatSus modelling pattern</t>
        </is>
      </c>
      <c r="G33" s="33" t="n"/>
      <c r="H33" s="33" t="inlineStr">
        <is>
          <t>Guidance ICE + end-user role + waste collection/separation process</t>
        </is>
      </c>
      <c r="I33" s="33" t="inlineStr">
        <is>
          <t>DEFERRED</t>
        </is>
      </c>
      <c r="J33" s="33" t="inlineStr">
        <is>
          <t>N/A — no MatSus class approved</t>
        </is>
      </c>
      <c r="K33" s="33" t="inlineStr">
        <is>
          <t>N/A — no local class approved.</t>
        </is>
      </c>
      <c r="L33" s="33" t="inlineStr">
        <is>
          <t>No MatSus axiom now.</t>
        </is>
      </c>
      <c r="M33" s="33" t="inlineStr">
        <is>
          <t>N/A</t>
        </is>
      </c>
      <c r="N33" s="33" t="inlineStr">
        <is>
          <t>N/A</t>
        </is>
      </c>
      <c r="O33" s="33" t="n"/>
      <c r="P33" s="33" t="inlineStr">
        <is>
          <t>DEFERRED</t>
        </is>
      </c>
      <c r="Q33" s="33" t="inlineStr">
        <is>
          <t>CQ: What guidance is supplied to which end-user role, about participation in which collection/separation process, for which waste battery? Model one instance before adding a class.</t>
        </is>
      </c>
      <c r="R33" s="33" t="inlineStr">
        <is>
          <t>Full class-level definition, parent, confidence and later-axiom notes are in Class Review.</t>
        </is>
      </c>
    </row>
    <row r="34" ht="42" customHeight="1">
      <c r="A34" s="33" t="inlineStr">
        <is>
          <t>3 - DEFERRED</t>
        </is>
      </c>
      <c r="B34" s="33" t="inlineStr">
        <is>
          <t>ADD-BAT-002</t>
        </is>
      </c>
      <c r="C34" s="33" t="inlineStr">
        <is>
          <t>Quality/data/pattern</t>
        </is>
      </c>
      <c r="D34" s="33" t="inlineStr">
        <is>
          <t>degradation pattern (no new generic class)</t>
        </is>
      </c>
      <c r="E34" s="33" t="inlineStr">
        <is>
          <t>DEFER_MODELLING_USE_CASE</t>
        </is>
      </c>
      <c r="F34" s="33" t="inlineStr">
        <is>
          <t>MatSus modelling pattern</t>
        </is>
      </c>
      <c r="G34" s="33" t="inlineStr">
        <is>
          <t>PMDco quality/process branches</t>
        </is>
      </c>
      <c r="H34" s="33" t="inlineStr">
        <is>
          <t>Existing PMDco quality + process + datum pattern</t>
        </is>
      </c>
      <c r="I34" s="33" t="inlineStr">
        <is>
          <t>DEFERRED</t>
        </is>
      </c>
      <c r="J34" s="33" t="inlineStr">
        <is>
          <t>N/A — no MatSus class approved</t>
        </is>
      </c>
      <c r="K34" s="33" t="inlineStr">
        <is>
          <t>N/A — no local class approved.</t>
        </is>
      </c>
      <c r="L34" s="33" t="inlineStr">
        <is>
          <t>No MatSus axiom now.</t>
        </is>
      </c>
      <c r="M34" s="33" t="inlineStr">
        <is>
          <t>N/A</t>
        </is>
      </c>
      <c r="N34" s="33" t="inlineStr">
        <is>
          <t>N/A</t>
        </is>
      </c>
      <c r="O34" s="33" t="n"/>
      <c r="P34" s="33" t="inlineStr">
        <is>
          <t>DEFERRED</t>
        </is>
      </c>
      <c r="Q34" s="33" t="inlineStr">
        <is>
          <t>CQ: For bearer B and quality Q, what changed between t1 and t2, by how much, and according to which method? Add a class only when one cross-domain query requires it.</t>
        </is>
      </c>
      <c r="R34" s="33" t="inlineStr">
        <is>
          <t>Full class-level definition, parent, confidence and later-axiom notes are in Class Review.</t>
        </is>
      </c>
    </row>
    <row r="35" ht="42" customHeight="1">
      <c r="A35" s="33" t="inlineStr">
        <is>
          <t>3 - DEFERRED</t>
        </is>
      </c>
      <c r="B35" s="33" t="inlineStr">
        <is>
          <t>ADD-BAT-003</t>
        </is>
      </c>
      <c r="C35" s="33" t="inlineStr">
        <is>
          <t>Quality/data/pattern</t>
        </is>
      </c>
      <c r="D35" s="33" t="inlineStr">
        <is>
          <t>remaining-capability pattern (no new generic class)</t>
        </is>
      </c>
      <c r="E35" s="33" t="inlineStr">
        <is>
          <t>DEFER_MODELLING_USE_CASE</t>
        </is>
      </c>
      <c r="F35" s="33" t="inlineStr">
        <is>
          <t>MatSus modelling pattern</t>
        </is>
      </c>
      <c r="G35" s="33" t="inlineStr">
        <is>
          <t>PMDco quality/value-specification branches</t>
        </is>
      </c>
      <c r="H35" s="33" t="inlineStr">
        <is>
          <t>Disposition/quality + value/unit/time/provenance</t>
        </is>
      </c>
      <c r="I35" s="33" t="inlineStr">
        <is>
          <t>DEFERRED</t>
        </is>
      </c>
      <c r="J35" s="33" t="inlineStr">
        <is>
          <t>N/A — no MatSus class approved</t>
        </is>
      </c>
      <c r="K35" s="33" t="inlineStr">
        <is>
          <t>N/A — no local class approved.</t>
        </is>
      </c>
      <c r="L35" s="33" t="inlineStr">
        <is>
          <t>No MatSus axiom now.</t>
        </is>
      </c>
      <c r="M35" s="33" t="inlineStr">
        <is>
          <t>N/A</t>
        </is>
      </c>
      <c r="N35" s="33" t="inlineStr">
        <is>
          <t>N/A</t>
        </is>
      </c>
      <c r="O35" s="33" t="n"/>
      <c r="P35" s="33" t="inlineStr">
        <is>
          <t>DEFERRED</t>
        </is>
      </c>
      <c r="Q35" s="33" t="inlineStr">
        <is>
          <t>CQ: Which capability remains in bearer B at time t, what value and unit quantify it, and which assay produced the value? Use a battery KPI example before minting.</t>
        </is>
      </c>
      <c r="R35" s="33" t="inlineStr">
        <is>
          <t>Full class-level definition, parent, confidence and later-axiom notes are in Class Review.</t>
        </is>
      </c>
    </row>
    <row r="36" ht="42" customHeight="1">
      <c r="A36" s="33" t="inlineStr">
        <is>
          <t>3 - DEFERRED</t>
        </is>
      </c>
      <c r="B36" s="33" t="inlineStr">
        <is>
          <t>MKB-000308</t>
        </is>
      </c>
      <c r="C36" s="33" t="inlineStr">
        <is>
          <t>Waste package</t>
        </is>
      </c>
      <c r="D36" s="33" t="inlineStr">
        <is>
          <t>end-user guidance about waste prevention</t>
        </is>
      </c>
      <c r="E36" s="33" t="inlineStr">
        <is>
          <t>DEFER_MODELLING_USE_CASE</t>
        </is>
      </c>
      <c r="F36" s="33" t="inlineStr">
        <is>
          <t>MatSus modelling pattern</t>
        </is>
      </c>
      <c r="G36" s="33" t="n"/>
      <c r="H36" s="33" t="inlineStr">
        <is>
          <t>Guidance ICE + end-user role + waste prevention process</t>
        </is>
      </c>
      <c r="I36" s="33" t="inlineStr">
        <is>
          <t>DEFERRED</t>
        </is>
      </c>
      <c r="J36" s="33" t="inlineStr">
        <is>
          <t>N/A — no MatSus class approved</t>
        </is>
      </c>
      <c r="K36" s="33" t="inlineStr">
        <is>
          <t>N/A — no local class approved.</t>
        </is>
      </c>
      <c r="L36" s="33" t="inlineStr">
        <is>
          <t>No MatSus axiom now.</t>
        </is>
      </c>
      <c r="M36" s="33" t="inlineStr">
        <is>
          <t>N/A</t>
        </is>
      </c>
      <c r="N36" s="33" t="inlineStr">
        <is>
          <t>N/A</t>
        </is>
      </c>
      <c r="O36" s="33" t="n"/>
      <c r="P36" s="33" t="inlineStr">
        <is>
          <t>DEFERRED</t>
        </is>
      </c>
      <c r="Q36" s="33" t="inlineStr">
        <is>
          <t>CQ: What guidance is supplied to which end-user role, about participation in which waste-prevention process, for which product? Model one instance before adding a class.</t>
        </is>
      </c>
      <c r="R36" s="33" t="inlineStr">
        <is>
          <t>Full class-level definition, parent, confidence and later-axiom notes are in Class Review.</t>
        </is>
      </c>
    </row>
    <row r="37" ht="58" customHeight="1">
      <c r="A37" s="33" t="inlineStr">
        <is>
          <t>1 - LOCAL IMPLEMENTATION</t>
        </is>
      </c>
      <c r="B37" s="33" t="inlineStr">
        <is>
          <t>POST-MKB1-MAT-001</t>
        </is>
      </c>
      <c r="C37" s="33" t="inlineStr">
        <is>
          <t>Material/role</t>
        </is>
      </c>
      <c r="D37" s="33" t="inlineStr">
        <is>
          <t>recovered material</t>
        </is>
      </c>
      <c r="E37" s="33" t="inlineStr">
        <is>
          <t>IMPLEMENT_LOCAL_MATSUS_TERM</t>
        </is>
      </c>
      <c r="F37" s="33" t="inlineStr">
        <is>
          <t>MatSus</t>
        </is>
      </c>
      <c r="G37" s="33" t="inlineStr">
        <is>
          <t>https://w3id.org/pmd/matsus/RecoveredMaterial</t>
        </is>
      </c>
      <c r="H37" s="33" t="inlineStr">
        <is>
          <t>PMDco material (PMD_0000000)</t>
        </is>
      </c>
      <c r="I37" s="33" t="inlineStr">
        <is>
          <t>POST_GATE_ACCEPTED</t>
        </is>
      </c>
      <c r="J37" s="33" t="inlineStr">
        <is>
          <t>https://w3id.org/pmd/matsus/MATSUS_0000001</t>
        </is>
      </c>
      <c r="K37" s="33" t="inlineStr">
        <is>
          <t>ACCEPT — material-recovery provenance is represented separately from the contextual waste role; recovered material is not a subclass of waste material.</t>
        </is>
      </c>
      <c r="L37" s="33" t="inlineStr">
        <is>
          <t>https://w3id.org/pmd/matsus/MATSUS_0000001 SubClassOf https://w3id.org/pmd/co/PMD_0000000.</t>
        </is>
      </c>
      <c r="M37" s="33" t="inlineStr">
        <is>
          <t>YES — PRESENT IN src/ontology/matsus-edit.owl</t>
        </is>
      </c>
      <c r="N37" s="33" t="inlineStr">
        <is>
          <t>PASS — ROBOT 1.9.2 syntax parse/convert; merged OWL 2 DL profile; ELK consistency; 5 repository SPARQL checks (0 violations). Quality report: 0 errors, 25 warnings. dicer-cli unavailable; IDs directly checked against 7-digit 0000000–0009999 policy.</t>
        </is>
      </c>
      <c r="O37" s="33" t="inlineStr">
        <is>
          <t>No unresolved parent/import dependency. Later: link the material to its recovery process/history.</t>
        </is>
      </c>
      <c r="P37" s="33" t="inlineStr">
        <is>
          <t>IMPLEMENTED_AND_VALIDATED_WITH_WARNINGS</t>
        </is>
      </c>
      <c r="Q37" s="33" t="inlineStr">
        <is>
          <t>Retain the recovery provenance/history relation for later axiomatization; add no disjointness or complement axiom.</t>
        </is>
      </c>
      <c r="R37" s="33" t="inlineStr">
        <is>
          <t>Final numeric IRI allocated under repository policy. PMDco material parent resolved in the current import closure.</t>
        </is>
      </c>
    </row>
    <row r="38" ht="58" customHeight="1">
      <c r="A38" s="33" t="inlineStr">
        <is>
          <t>1 - LOCAL IMPLEMENTATION</t>
        </is>
      </c>
      <c r="B38" s="33" t="inlineStr">
        <is>
          <t>MKB-000175</t>
        </is>
      </c>
      <c r="C38" s="33" t="inlineStr">
        <is>
          <t>Material/role</t>
        </is>
      </c>
      <c r="D38" s="33" t="inlineStr">
        <is>
          <t>recycled material</t>
        </is>
      </c>
      <c r="E38" s="33" t="inlineStr">
        <is>
          <t>IMPLEMENT_LOCAL_MATSUS_TERM</t>
        </is>
      </c>
      <c r="F38" s="33" t="inlineStr">
        <is>
          <t>MatSus</t>
        </is>
      </c>
      <c r="G38" s="33" t="inlineStr">
        <is>
          <t>https://w3id.org/pmd/matsus/RecycledMaterial</t>
        </is>
      </c>
      <c r="H38" s="33" t="inlineStr">
        <is>
          <t>MatSus recovered material</t>
        </is>
      </c>
      <c r="I38" s="33" t="inlineStr">
        <is>
          <t>POST_GATE_ACCEPTED</t>
        </is>
      </c>
      <c r="J38" s="33" t="inlineStr">
        <is>
          <t>https://w3id.org/pmd/matsus/MATSUS_0000002</t>
        </is>
      </c>
      <c r="K38" s="33" t="inlineStr">
        <is>
          <t>ACCEPT — process-history specialization of recovered material; it may overlap with secondary material.</t>
        </is>
      </c>
      <c r="L38" s="33" t="inlineStr">
        <is>
          <t>https://w3id.org/pmd/matsus/MATSUS_0000002 SubClassOf https://w3id.org/pmd/matsus/MATSUS_0000001.</t>
        </is>
      </c>
      <c r="M38" s="33" t="inlineStr">
        <is>
          <t>YES — PRESENT IN src/ontology/matsus-edit.owl</t>
        </is>
      </c>
      <c r="N38" s="33" t="inlineStr">
        <is>
          <t>PASS — ROBOT 1.9.2 syntax parse/convert; merged OWL 2 DL profile; ELK consistency; 5 repository SPARQL checks (0 violations). Quality report: 0 errors, 25 warnings. dicer-cli unavailable; IDs directly checked against 7-digit 0000000–0009999 policy.</t>
        </is>
      </c>
      <c r="O38" s="33" t="inlineStr">
        <is>
          <t>Recovered material dependency resolved as MATSUS_0000001. Later: link to the recycling process/history.</t>
        </is>
      </c>
      <c r="P38" s="33" t="inlineStr">
        <is>
          <t>IMPLEMENTED_AND_VALIDATED_WITH_WARNINGS</t>
        </is>
      </c>
      <c r="Q38" s="33" t="inlineStr">
        <is>
          <t>Retain the process/history relation for later axiomatization; do not assert disjointness from secondary material.</t>
        </is>
      </c>
      <c r="R38" s="33" t="inlineStr">
        <is>
          <t>Final numeric IRI allocated under repository policy. Recycled material and secondary material remain overlapping sibling categories.</t>
        </is>
      </c>
    </row>
    <row r="39" ht="58" customHeight="1">
      <c r="A39" s="33" t="inlineStr">
        <is>
          <t>1 - LOCAL IMPLEMENTATION</t>
        </is>
      </c>
      <c r="B39" s="33" t="inlineStr">
        <is>
          <t>MKB-000223</t>
        </is>
      </c>
      <c r="C39" s="33" t="inlineStr">
        <is>
          <t>Material/role</t>
        </is>
      </c>
      <c r="D39" s="33" t="inlineStr">
        <is>
          <t>secondary material</t>
        </is>
      </c>
      <c r="E39" s="33" t="inlineStr">
        <is>
          <t>IMPLEMENT_LOCAL_MATSUS_TERM</t>
        </is>
      </c>
      <c r="F39" s="33" t="inlineStr">
        <is>
          <t>MatSus</t>
        </is>
      </c>
      <c r="G39" s="33" t="inlineStr">
        <is>
          <t>https://w3id.org/pmd/matsus/SecondaryMaterial</t>
        </is>
      </c>
      <c r="H39" s="33" t="inlineStr">
        <is>
          <t>MatSus recovered material</t>
        </is>
      </c>
      <c r="I39" s="33" t="inlineStr">
        <is>
          <t>POST_GATE_ACCEPTED</t>
        </is>
      </c>
      <c r="J39" s="33" t="inlineStr">
        <is>
          <t>https://w3id.org/pmd/matsus/MATSUS_0000003</t>
        </is>
      </c>
      <c r="K39" s="33" t="inlineStr">
        <is>
          <t>ACCEPT — use/status specialization; sibling of recycled material and allowed to overlap it.</t>
        </is>
      </c>
      <c r="L39" s="33" t="inlineStr">
        <is>
          <t>https://w3id.org/pmd/matsus/MATSUS_0000003 SubClassOf https://w3id.org/pmd/matsus/MATSUS_0000001.</t>
        </is>
      </c>
      <c r="M39" s="33" t="inlineStr">
        <is>
          <t>YES — PRESENT IN src/ontology/matsus-edit.owl</t>
        </is>
      </c>
      <c r="N39" s="33" t="inlineStr">
        <is>
          <t>PASS — ROBOT 1.9.2 syntax parse/convert; merged OWL 2 DL profile; ELK consistency; 5 repository SPARQL checks (0 violations). Quality report: 0 errors, 25 warnings. dicer-cli unavailable; IDs directly checked against 7-digit 0000000–0009999 policy.</t>
        </is>
      </c>
      <c r="O39" s="33" t="inlineStr">
        <is>
          <t>Recovered material dependency resolved as MATSUS_0000001. Later: represent suitability or intended use when a stable relation pattern is selected.</t>
        </is>
      </c>
      <c r="P39" s="33" t="inlineStr">
        <is>
          <t>IMPLEMENTED_AND_VALIDATED_WITH_WARNINGS</t>
        </is>
      </c>
      <c r="Q39" s="33" t="inlineStr">
        <is>
          <t>Retain suitability/intended-use modelling for later axiomatization; do not assert disjointness from recycled material.</t>
        </is>
      </c>
      <c r="R39" s="33" t="inlineStr">
        <is>
          <t>Final numeric IRI allocated under repository policy. Secondary material remains a positive category, not a complement of virgin material.</t>
        </is>
      </c>
    </row>
    <row r="40" ht="58" customHeight="1">
      <c r="A40" s="33" t="inlineStr">
        <is>
          <t>1 - LOCAL IMPLEMENTATION</t>
        </is>
      </c>
      <c r="B40" s="33" t="inlineStr">
        <is>
          <t>POST-MKB1-ASS-001</t>
        </is>
      </c>
      <c r="C40" s="33" t="inlineStr">
        <is>
          <t>Assessment</t>
        </is>
      </c>
      <c r="D40" s="33" t="inlineStr">
        <is>
          <t>material sustainability assessment</t>
        </is>
      </c>
      <c r="E40" s="33" t="inlineStr">
        <is>
          <t>IMPLEMENT_LOCAL_MATSUS_TERM</t>
        </is>
      </c>
      <c r="F40" s="33" t="inlineStr">
        <is>
          <t>MatSus</t>
        </is>
      </c>
      <c r="G40" s="33" t="inlineStr">
        <is>
          <t>https://w3id.org/pmd/matsus/MaterialSustainabilityAssessment</t>
        </is>
      </c>
      <c r="H40" s="33" t="inlineStr">
        <is>
          <t>OBI assay (OBI_0000070)</t>
        </is>
      </c>
      <c r="I40" s="33" t="inlineStr">
        <is>
          <t>POST_GATE_ACCEPTED</t>
        </is>
      </c>
      <c r="J40" s="33" t="inlineStr">
        <is>
          <t>https://w3id.org/pmd/matsus/MATSUS_0000004</t>
        </is>
      </c>
      <c r="K40" s="33" t="inlineStr">
        <is>
          <t>ACCEPT PROVISIONALLY — a thin MatSus assessment umbrella is justified, but it must be reconciled with the dedicated assessment batch.</t>
        </is>
      </c>
      <c r="L40" s="33" t="inlineStr">
        <is>
          <t>https://w3id.org/pmd/matsus/MATSUS_0000004 SubClassOf http://purl.obolibrary.org/obo/OBI_0000070.</t>
        </is>
      </c>
      <c r="M40" s="33" t="inlineStr">
        <is>
          <t>YES — PRESENT IN src/ontology/matsus-edit.owl</t>
        </is>
      </c>
      <c r="N40" s="33" t="inlineStr">
        <is>
          <t>PASS — ROBOT 1.9.2 syntax parse/convert; merged OWL 2 DL profile; ELK consistency; 5 repository SPARQL checks (0 violations). Quality report: 0 errors, 25 warnings. dicer-cli unavailable; IDs directly checked against 7-digit 0000000–0009999 policy.</t>
        </is>
      </c>
      <c r="O40" s="33" t="inlineStr">
        <is>
          <t>SRC-007 / SRC-009 / CLEO — Batch 2 scope reconciliation remains a later action; no missing parent/import dependency.</t>
        </is>
      </c>
      <c r="P40" s="33" t="inlineStr">
        <is>
          <t>PROVISIONALLY_IMPLEMENTED_AND_VALIDATED_WITH_WARNINGS</t>
        </is>
      </c>
      <c r="Q40" s="33" t="inlineStr">
        <is>
          <t>Reconcile the umbrella scope in Batch 2; add no further logical restrictions now.</t>
        </is>
      </c>
      <c r="R40" s="33" t="inlineStr">
        <is>
          <t>Final numeric IRI allocated under repository policy. OBI assay parent resolved in the current import closure.</t>
        </is>
      </c>
    </row>
    <row r="41" ht="58" customHeight="1">
      <c r="A41" s="33" t="inlineStr">
        <is>
          <t>1 - LOCAL IMPLEMENTATION</t>
        </is>
      </c>
      <c r="B41" s="33" t="inlineStr">
        <is>
          <t>MKB-000180-ASS</t>
        </is>
      </c>
      <c r="C41" s="33" t="inlineStr">
        <is>
          <t>Assessment</t>
        </is>
      </c>
      <c r="D41" s="33" t="inlineStr">
        <is>
          <t>resource-input reduction assessment</t>
        </is>
      </c>
      <c r="E41" s="33" t="inlineStr">
        <is>
          <t>IMPLEMENT_LOCAL_MATSUS_TERM</t>
        </is>
      </c>
      <c r="F41" s="33" t="inlineStr">
        <is>
          <t>MatSus</t>
        </is>
      </c>
      <c r="G41" s="33" t="inlineStr">
        <is>
          <t>https://w3id.org/pmd/matsus/ResourceInputReductionAssessment</t>
        </is>
      </c>
      <c r="H41" s="33" t="inlineStr">
        <is>
          <t>MatSus material sustainability assessment</t>
        </is>
      </c>
      <c r="I41" s="33" t="inlineStr">
        <is>
          <t>POST_GATE_ACCEPTED</t>
        </is>
      </c>
      <c r="J41" s="33" t="inlineStr">
        <is>
          <t>https://w3id.org/pmd/matsus/MATSUS_0000005</t>
        </is>
      </c>
      <c r="K41" s="33" t="inlineStr">
        <is>
          <t>ACCEPT — this is the evidential assessment counterpart of the reduction process and objective specification.</t>
        </is>
      </c>
      <c r="L41" s="33" t="inlineStr">
        <is>
          <t>https://w3id.org/pmd/matsus/MATSUS_0000005 SubClassOf https://w3id.org/pmd/matsus/MATSUS_0000004.</t>
        </is>
      </c>
      <c r="M41" s="33" t="inlineStr">
        <is>
          <t>YES — PRESENT IN src/ontology/matsus-edit.owl</t>
        </is>
      </c>
      <c r="N41" s="33" t="inlineStr">
        <is>
          <t>PASS — ROBOT 1.9.2 syntax parse/convert; merged OWL 2 DL profile; ELK consistency; 5 repository SPARQL checks (0 violations). Quality report: 0 errors, 25 warnings. dicer-cli unavailable; IDs directly checked against 7-digit 0000000–0009999 policy.</t>
        </is>
      </c>
      <c r="O41" s="33" t="inlineStr">
        <is>
          <t>Material sustainability assessment dependency resolved as MATSUS_0000004. Later: model the evaluated process/system, baseline, comparison conditions and output datum.</t>
        </is>
      </c>
      <c r="P41" s="33" t="inlineStr">
        <is>
          <t>IMPLEMENTED_AND_VALIDATED_WITH_WARNINGS</t>
        </is>
      </c>
      <c r="Q41" s="33" t="inlineStr">
        <is>
          <t>Keep assessment distinct from the process and objective specification; defer the remaining relations.</t>
        </is>
      </c>
      <c r="R41" s="33" t="inlineStr">
        <is>
          <t>Final numeric IRI allocated under repository policy; local parent is present in the same batch.</t>
        </is>
      </c>
    </row>
    <row r="42" ht="58" customHeight="1">
      <c r="A42" s="33" t="inlineStr">
        <is>
          <t>1 - LOCAL IMPLEMENTATION</t>
        </is>
      </c>
      <c r="B42" s="33" t="inlineStr">
        <is>
          <t>MKB-000180-OBJ</t>
        </is>
      </c>
      <c r="C42" s="33" t="inlineStr">
        <is>
          <t>Information/specification</t>
        </is>
      </c>
      <c r="D42" s="33" t="inlineStr">
        <is>
          <t>resource-input reduction objective specification</t>
        </is>
      </c>
      <c r="E42" s="33" t="inlineStr">
        <is>
          <t>IMPLEMENT_LOCAL_MATSUS_TERM</t>
        </is>
      </c>
      <c r="F42" s="33" t="inlineStr">
        <is>
          <t>MatSus</t>
        </is>
      </c>
      <c r="G42" s="33" t="inlineStr">
        <is>
          <t>https://w3id.org/pmd/matsus/ResourceInputReductionObjectiveSpecification</t>
        </is>
      </c>
      <c r="H42" s="33" t="inlineStr">
        <is>
          <t>IAO objective specification (IAO_0000005)</t>
        </is>
      </c>
      <c r="I42" s="33" t="inlineStr">
        <is>
          <t>POST_GATE_ACCEPTED</t>
        </is>
      </c>
      <c r="J42" s="33" t="inlineStr">
        <is>
          <t>https://w3id.org/pmd/matsus/MATSUS_0000006</t>
        </is>
      </c>
      <c r="K42" s="33" t="inlineStr">
        <is>
          <t>ACCEPT — this represents the intended reduction target; no separate resource-input reduction strategy specification is required.</t>
        </is>
      </c>
      <c r="L42" s="33" t="inlineStr">
        <is>
          <t>https://w3id.org/pmd/matsus/MATSUS_0000006 SubClassOf http://purl.obolibrary.org/obo/IAO_0000005.</t>
        </is>
      </c>
      <c r="M42" s="33" t="inlineStr">
        <is>
          <t>YES — PRESENT IN src/ontology/matsus-edit.owl</t>
        </is>
      </c>
      <c r="N42" s="33" t="inlineStr">
        <is>
          <t>PASS — ROBOT 1.9.2 syntax parse/convert; merged OWL 2 DL profile; ELK consistency; 5 repository SPARQL checks (0 violations). Quality report: 0 errors, 25 warnings. dicer-cli unavailable; IDs directly checked against 7-digit 0000000–0009999 policy.</t>
        </is>
      </c>
      <c r="O42" s="33" t="inlineStr">
        <is>
          <t>No unresolved parent/import dependency. Later: relate the target process/system, baseline, reduction amount and unit.</t>
        </is>
      </c>
      <c r="P42" s="33" t="inlineStr">
        <is>
          <t>IMPLEMENTED_AND_VALIDATED_WITH_WARNINGS</t>
        </is>
      </c>
      <c r="Q42" s="33" t="inlineStr">
        <is>
          <t>Keep the example as editorial guidance; do not add a resource-input reduction strategy specification.</t>
        </is>
      </c>
      <c r="R42" s="33" t="inlineStr">
        <is>
          <t>Final numeric IRI allocated under repository policy. IAO objective specification parent resolved in the current import closure.</t>
        </is>
      </c>
    </row>
  </sheetData>
  <conditionalFormatting sqref="K2:K36">
    <cfRule type="containsText" priority="1" operator="containsText" dxfId="2" text="REVISE"/>
    <cfRule type="containsText" priority="2" operator="containsText" dxfId="1" text="PROVISIONALLY"/>
    <cfRule type="containsText" priority="3" operator="containsText" dxfId="0" text="ACCEPT"/>
  </conditionalFormatting>
  <dataValidations count="3">
    <dataValidation sqref="M2:M36" showDropDown="0" showInputMessage="0" showErrorMessage="0" allowBlank="0" type="list">
      <formula1>"NO - DRAFT ONLY,IN PROGRESS,YES,N/A"</formula1>
    </dataValidation>
    <dataValidation sqref="N2:N36" showDropDown="0" showInputMessage="0" showErrorMessage="0" allowBlank="0" type="list">
      <formula1>"FULL BUILD TODO,IN PROGRESS,FULL BUILD PASSED,N/A"</formula1>
    </dataValidation>
    <dataValidation sqref="P2:P36" showDropDown="0" showInputMessage="0" showErrorMessage="0" allowBlank="0" type="list">
      <formula1>"DRAFT_READY_FOR_IR2,DRAFT_READY_ISSUE_SUBMITTED,PROVISIONAL_DRAFT_READY,PARTIAL_DRAFT_READY,IN_PROGRESS,DONE,ISSUE_SUBMITTED,LOG_ISSUE_PENDING,DEFERRED"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6"/>
  <sheetViews>
    <sheetView showGridLines="0" workbookViewId="0">
      <selection activeCell="A1" sqref="A1"/>
    </sheetView>
  </sheetViews>
  <sheetFormatPr baseColWidth="8" defaultRowHeight="14"/>
  <cols>
    <col width="28" customWidth="1" min="1" max="1"/>
    <col width="25" customWidth="1" min="2" max="2"/>
    <col width="26.83203125" customWidth="1" min="3" max="3"/>
    <col width="48" customWidth="1" min="4" max="4"/>
    <col width="78" customWidth="1" min="5" max="5"/>
    <col width="32.5" customWidth="1" min="6" max="6"/>
    <col width="78" customWidth="1" min="7" max="7"/>
    <col width="13" customWidth="1" min="8" max="8"/>
    <col width="64" customWidth="1" min="9" max="9"/>
    <col width="70" customWidth="1" min="10" max="10"/>
    <col width="58" customWidth="1" min="11" max="11"/>
    <col width="34" customWidth="1" min="12" max="12"/>
    <col width="48.4140625" customWidth="1" min="13" max="13"/>
    <col width="32.58203125" customWidth="1" min="14" max="14"/>
    <col width="62" customWidth="1" min="15" max="15"/>
    <col width="54" customWidth="1" min="16" max="16"/>
    <col width="32" customWidth="1" min="17" max="17"/>
  </cols>
  <sheetData>
    <row r="1">
      <c r="A1" s="37" t="inlineStr">
        <is>
          <t>MKB ID(s)</t>
        </is>
      </c>
      <c r="B1" s="38" t="inlineStr">
        <is>
          <t>Ontology target</t>
        </is>
      </c>
      <c r="C1" s="38" t="inlineStr">
        <is>
          <t>Class label</t>
        </is>
      </c>
      <c r="D1" s="38" t="inlineStr">
        <is>
          <t>Recommended final IRI</t>
        </is>
      </c>
      <c r="E1" s="38" t="inlineStr">
        <is>
          <t>Draft/proposed definition</t>
        </is>
      </c>
      <c r="F1" s="38" t="inlineStr">
        <is>
          <t>Asserted/proposed parent</t>
        </is>
      </c>
      <c r="G1" s="38" t="inlineStr">
        <is>
          <t>Codex assessment</t>
        </is>
      </c>
      <c r="H1" s="38" t="inlineStr">
        <is>
          <t>Confidence</t>
        </is>
      </c>
      <c r="I1" s="38" t="inlineStr">
        <is>
          <t>Confirmed axiom(s) now</t>
        </is>
      </c>
      <c r="J1" s="38" t="inlineStr">
        <is>
          <t>Later axiomatization note</t>
        </is>
      </c>
      <c r="K1" s="38" t="inlineStr">
        <is>
          <t>Issue / dependency</t>
        </is>
      </c>
      <c r="L1" s="39" t="inlineStr">
        <is>
          <t>Implementation status</t>
        </is>
      </c>
      <c r="M1" s="41" t="inlineStr">
        <is>
          <t>Human decision / comment</t>
        </is>
      </c>
      <c r="N1" s="41" t="inlineStr">
        <is>
          <t>Editorial note</t>
        </is>
      </c>
      <c r="O1" s="41" t="inlineStr">
        <is>
          <t>Source / provenance</t>
        </is>
      </c>
      <c r="P1" s="41" t="inlineStr">
        <is>
          <t>integrationMethod</t>
        </is>
      </c>
      <c r="Q1" s="41" t="inlineStr">
        <is>
          <t>Validation status</t>
        </is>
      </c>
    </row>
    <row r="2" ht="28" customHeight="1">
      <c r="A2" s="33" t="inlineStr">
        <is>
          <t>Supporting waste anchor</t>
        </is>
      </c>
      <c r="B2" s="33" t="inlineStr">
        <is>
          <t>MatSus provisional; PMDco candidate</t>
        </is>
      </c>
      <c r="C2" s="33" t="inlineStr">
        <is>
          <t>waste role</t>
        </is>
      </c>
      <c r="D2" s="33" t="inlineStr">
        <is>
          <t>https://w3id.org/pmd/matsus/MATSUS_0000007</t>
        </is>
      </c>
      <c r="E2" s="33" t="inlineStr">
        <is>
          <t>A role borne by a material entity when its holder discards it, intends to discard it, or is required to discard it.</t>
        </is>
      </c>
      <c r="F2" s="33" t="inlineStr">
        <is>
          <t>BFO role (http://purl.obolibrary.org/obo/BFO_0000023)</t>
        </is>
      </c>
      <c r="G2" s="33" t="inlineStr">
        <is>
          <t>ACCEPT PROVISIONALLY — strong contextual role pattern; replace/map only if PMDco issue #485 supplies the upstream anchor.</t>
        </is>
      </c>
      <c r="H2" s="33" t="inlineStr">
        <is>
          <t>HIGH</t>
        </is>
      </c>
      <c r="I2" s="33" t="inlineStr">
        <is>
          <t>MATSUS_0000007 SubClassOf BFO_0000023.</t>
        </is>
      </c>
      <c r="J2" s="33" t="inlineStr">
        <is>
          <t>Later: decide realization/context relations and the future PMDco mapping.</t>
        </is>
      </c>
      <c r="K2" s="33" t="inlineStr">
        <is>
          <t>https://github.com/materialdigital/core-ontology/issues/485</t>
        </is>
      </c>
      <c r="L2" s="33" t="inlineStr">
        <is>
          <t>IMPLEMENTED IN MATSUS-EDIT (MKB1 IR2 BATCH 2)</t>
        </is>
      </c>
      <c r="M2" s="33" t="n"/>
      <c r="N2" s="33" t="inlineStr">
        <is>
          <t>Waste status is contextual and role-based, not an intrinsic material kind. Later PMDco acceptance triggers migration or reconciliation, not deletion.</t>
        </is>
      </c>
      <c r="O2" s="33" t="inlineStr">
        <is>
          <t>Class Review row 2; human-gate Closure; PMDco issue #485.</t>
        </is>
      </c>
      <c r="P2" s="33" t="inlineStr">
        <is>
          <t>new MatSus subclass of BFO role</t>
        </is>
      </c>
      <c r="Q2"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3" ht="28" customHeight="1">
      <c r="A3" s="33" t="inlineStr">
        <is>
          <t>Supporting waste anchor</t>
        </is>
      </c>
      <c r="B3" s="33" t="inlineStr">
        <is>
          <t>MatSus provisional; PMDco candidate</t>
        </is>
      </c>
      <c r="C3" s="33" t="inlineStr">
        <is>
          <t>waste material</t>
        </is>
      </c>
      <c r="D3" s="33" t="inlineStr">
        <is>
          <t>https://w3id.org/pmd/matsus/MATSUS_0000008</t>
        </is>
      </c>
      <c r="E3" s="33" t="inlineStr">
        <is>
          <t>A material that bears a waste role.</t>
        </is>
      </c>
      <c r="F3" s="33" t="inlineStr">
        <is>
          <t>PMDco material (https://w3id.org/pmd/co/PMD_0000000)</t>
        </is>
      </c>
      <c r="G3" s="33" t="inlineStr">
        <is>
          <t>ACCEPT PROVISIONALLY — the material-plus-role pattern is sound and supports the requested waste taxonomy.</t>
        </is>
      </c>
      <c r="H3" s="33" t="inlineStr">
        <is>
          <t>HIGH</t>
        </is>
      </c>
      <c r="I3" s="33" t="inlineStr">
        <is>
          <t>MATSUS_0000008 SubClassOf PMD_0000000; MATSUS_0000008 SubClassOf RO_0000087 some MATSUS_0000007.</t>
        </is>
      </c>
      <c r="J3" s="33" t="inlineStr">
        <is>
          <t>Later: decide necessary-only versus equivalence and select a temporal/context model.</t>
        </is>
      </c>
      <c r="K3" s="33" t="inlineStr">
        <is>
          <t>https://github.com/materialdigital/core-ontology/issues/485</t>
        </is>
      </c>
      <c r="L3" s="33" t="inlineStr">
        <is>
          <t>IMPLEMENTED IN MATSUS-EDIT (MKB1 IR2 BATCH 2)</t>
        </is>
      </c>
      <c r="M3" s="33" t="n"/>
      <c r="N3" s="33" t="inlineStr">
        <is>
          <t>Use 'waste' as an alternative label. RO_0000087 has the standard label 'has role'. Do not make recovered material a subclass of waste material. No equivalence axiom.</t>
        </is>
      </c>
      <c r="O3" s="33" t="inlineStr">
        <is>
          <t>Class Review row 3; human-gate Closure; PMDco issue #485.</t>
        </is>
      </c>
      <c r="P3" s="33" t="inlineStr">
        <is>
          <t>new MatSus subclass of PMDco material with a necessary waste-role restriction</t>
        </is>
      </c>
      <c r="Q3"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4" ht="28" customHeight="1">
      <c r="A4" s="33" t="inlineStr">
        <is>
          <t>MKB-000063</t>
        </is>
      </c>
      <c r="B4" s="33" t="inlineStr">
        <is>
          <t>MatSus</t>
        </is>
      </c>
      <c r="C4" s="33" t="inlineStr">
        <is>
          <t>construction and demolition waste</t>
        </is>
      </c>
      <c r="D4" s="33" t="inlineStr">
        <is>
          <t>https://w3id.org/pmd/matsus/MATSUS_0000009</t>
        </is>
      </c>
      <c r="E4" s="33" t="inlineStr">
        <is>
          <t>A waste material that arises from construction or demolition activities.</t>
        </is>
      </c>
      <c r="F4" s="33" t="inlineStr">
        <is>
          <t>MatSus waste material (https://w3id.org/pmd/matsus/MATSUS_0000008)</t>
        </is>
      </c>
      <c r="G4" s="33" t="inlineStr">
        <is>
          <t>ACCEPT — clear waste subtype under the provisional waste-material anchor.</t>
        </is>
      </c>
      <c r="H4" s="33" t="inlineStr">
        <is>
          <t>HIGH</t>
        </is>
      </c>
      <c r="I4" s="33" t="inlineStr">
        <is>
          <t>MATSUS_0000009 SubClassOf MATSUS_0000008.</t>
        </is>
      </c>
      <c r="J4" s="33" t="inlineStr">
        <is>
          <t>Later: add source/provenance criteria only if data integration requires them.</t>
        </is>
      </c>
      <c r="K4" s="33" t="inlineStr">
        <is>
          <t>https://github.com/materialdigital/core-ontology/issues/485</t>
        </is>
      </c>
      <c r="L4" s="33" t="inlineStr">
        <is>
          <t>IMPLEMENTED IN MATSUS-EDIT (MKB1 IR2 BATCH 2)</t>
        </is>
      </c>
      <c r="M4" s="33" t="n"/>
      <c r="N4" s="33" t="inlineStr">
        <is>
          <t>Retain this local subtype after any upstream anchor migration.</t>
        </is>
      </c>
      <c r="O4" s="33" t="inlineStr">
        <is>
          <t>MKB-000063; SRC-001 Circular Berlin; Master Analysis row 52.</t>
        </is>
      </c>
      <c r="P4" s="33" t="inlineStr">
        <is>
          <t>new MatSus subclass of waste material</t>
        </is>
      </c>
      <c r="Q4"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5" ht="28" customHeight="1">
      <c r="A5" s="33" t="inlineStr">
        <is>
          <t>MKB-000144</t>
        </is>
      </c>
      <c r="B5" s="33" t="inlineStr">
        <is>
          <t>MatSus</t>
        </is>
      </c>
      <c r="C5" s="33" t="inlineStr">
        <is>
          <t>mineral waste</t>
        </is>
      </c>
      <c r="D5" s="33" t="inlineStr">
        <is>
          <t>https://w3id.org/pmd/matsus/MATSUS_0000010</t>
        </is>
      </c>
      <c r="E5" s="33" t="inlineStr">
        <is>
          <t>A waste material composed predominantly of mineral matter.</t>
        </is>
      </c>
      <c r="F5" s="33" t="inlineStr">
        <is>
          <t>MatSus waste material (https://w3id.org/pmd/matsus/MATSUS_0000008)</t>
        </is>
      </c>
      <c r="G5" s="33" t="inlineStr">
        <is>
          <t>ACCEPT PROVISIONALLY — parent is correct; retain the source scope because ‘predominantly mineral’ may require a threshold or classification rule.</t>
        </is>
      </c>
      <c r="H5" s="33" t="inlineStr">
        <is>
          <t>MEDIUM</t>
        </is>
      </c>
      <c r="I5" s="33" t="inlineStr">
        <is>
          <t>MATSUS_0000010 SubClassOf MATSUS_0000008.</t>
        </is>
      </c>
      <c r="J5" s="33" t="inlineStr">
        <is>
          <t>Later: represent thresholds through data or a classification specification.</t>
        </is>
      </c>
      <c r="K5" s="33" t="inlineStr">
        <is>
          <t>https://github.com/materialdigital/core-ontology/issues/485</t>
        </is>
      </c>
      <c r="L5" s="33" t="inlineStr">
        <is>
          <t>IMPLEMENTED IN MATSUS-EDIT (MKB1 IR2 BATCH 2)</t>
        </is>
      </c>
      <c r="M5" s="33" t="n"/>
      <c r="N5" s="33" t="inlineStr">
        <is>
          <t>Predominantly is intentionally not assigned an OWL cutoff.</t>
        </is>
      </c>
      <c r="O5" s="33" t="inlineStr">
        <is>
          <t>MKB-000144; SRC-003 European Environment Agency; Master Analysis row 69.</t>
        </is>
      </c>
      <c r="P5" s="33" t="inlineStr">
        <is>
          <t>new MatSus subclass of waste material</t>
        </is>
      </c>
      <c r="Q5"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6" ht="28" customHeight="1">
      <c r="A6" s="33" t="inlineStr">
        <is>
          <t>MKB-000148</t>
        </is>
      </c>
      <c r="B6" s="33" t="inlineStr">
        <is>
          <t>MatSus</t>
        </is>
      </c>
      <c r="C6" s="33" t="inlineStr">
        <is>
          <t>municipal waste</t>
        </is>
      </c>
      <c r="D6" s="33" t="inlineStr">
        <is>
          <t>https://w3id.org/pmd/matsus/MATSUS_0000011</t>
        </is>
      </c>
      <c r="E6" s="33" t="inlineStr">
        <is>
          <t>A waste material collected from households or a waste material from another source that is similar in nature and composition to household waste.</t>
        </is>
      </c>
      <c r="F6" s="33" t="inlineStr">
        <is>
          <t>MatSus waste material (https://w3id.org/pmd/matsus/MATSUS_0000008)</t>
        </is>
      </c>
      <c r="G6" s="33" t="inlineStr">
        <is>
          <t>ACCEPT — definition and parent match the intended household/similar-source scope.</t>
        </is>
      </c>
      <c r="H6" s="33" t="inlineStr">
        <is>
          <t>HIGH</t>
        </is>
      </c>
      <c r="I6" s="33" t="inlineStr">
        <is>
          <t>MATSUS_0000011 SubClassOf MATSUS_0000008.</t>
        </is>
      </c>
      <c r="J6" s="33" t="inlineStr">
        <is>
          <t>Later: assert equivalence only if municipal-waste and municipal-solid-waste scopes are confirmed identical.</t>
        </is>
      </c>
      <c r="K6" s="33" t="inlineStr">
        <is>
          <t>https://github.com/materialdigital/core-ontology/issues/485</t>
        </is>
      </c>
      <c r="L6" s="33" t="inlineStr">
        <is>
          <t>IMPLEMENTED IN MATSUS-EDIT (MKB1 IR2 BATCH 2)</t>
        </is>
      </c>
      <c r="M6" s="33" t="n"/>
      <c r="N6" s="33" t="inlineStr">
        <is>
          <t>Municipal solid waste is an alternative label, not an equivalent class.</t>
        </is>
      </c>
      <c r="O6" s="33" t="inlineStr">
        <is>
          <t>MKB-000148; SRC-003 European Environment Agency; Master Analysis row 71.</t>
        </is>
      </c>
      <c r="P6" s="33" t="inlineStr">
        <is>
          <t>new MatSus subclass of waste material</t>
        </is>
      </c>
      <c r="Q6"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7" ht="28" customHeight="1">
      <c r="A7" s="33" t="inlineStr">
        <is>
          <t>MKB-000155</t>
        </is>
      </c>
      <c r="B7" s="33" t="inlineStr">
        <is>
          <t>MatSus</t>
        </is>
      </c>
      <c r="C7" s="33" t="inlineStr">
        <is>
          <t>packaging waste</t>
        </is>
      </c>
      <c r="D7" s="33" t="inlineStr">
        <is>
          <t>https://w3id.org/pmd/matsus/MATSUS_0000012</t>
        </is>
      </c>
      <c r="E7" s="33" t="inlineStr">
        <is>
          <t>A waste material that was packaging or packaging material before it acquired a waste role.</t>
        </is>
      </c>
      <c r="F7" s="33" t="inlineStr">
        <is>
          <t>MatSus waste material (https://w3id.org/pmd/matsus/MATSUS_0000008)</t>
        </is>
      </c>
      <c r="G7" s="33" t="inlineStr">
        <is>
          <t xml:space="preserve">ACCEPT </t>
        </is>
      </c>
      <c r="H7" s="33" t="inlineStr">
        <is>
          <t>MEDIUM</t>
        </is>
      </c>
      <c r="I7" s="33" t="inlineStr">
        <is>
          <t>MATSUS_0000012 SubClassOf MATSUS_0000008.</t>
        </is>
      </c>
      <c r="J7" s="33" t="inlineStr">
        <is>
          <t>Later: represent former packaging status and the production-residue exclusion only with a validated pattern.</t>
        </is>
      </c>
      <c r="K7" s="33" t="inlineStr">
        <is>
          <t>https://github.com/materialdigital/core-ontology/issues/485</t>
        </is>
      </c>
      <c r="L7" s="33" t="inlineStr">
        <is>
          <t>IMPLEMENTED IN MATSUS-EDIT (MKB1 IR2 BATCH 2)</t>
        </is>
      </c>
      <c r="M7" s="33" t="n"/>
      <c r="N7" s="33" t="inlineStr">
        <is>
          <t>The selected source scope excludes production residues.</t>
        </is>
      </c>
      <c r="O7" s="33" t="inlineStr">
        <is>
          <t>MKB-000155; SRC-003 European Environment Agency; Master Analysis row 74; TransformON exact-label evidence was insufficient for reuse.</t>
        </is>
      </c>
      <c r="P7" s="33" t="inlineStr">
        <is>
          <t>new MatSus subclass of waste material</t>
        </is>
      </c>
      <c r="Q7"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8" ht="28" customHeight="1">
      <c r="A8" s="33" t="inlineStr">
        <is>
          <t>MKB-000249</t>
        </is>
      </c>
      <c r="B8" s="33" t="inlineStr">
        <is>
          <t>MatSus</t>
        </is>
      </c>
      <c r="C8" s="33" t="inlineStr">
        <is>
          <t>textile waste</t>
        </is>
      </c>
      <c r="D8" s="33" t="inlineStr">
        <is>
          <t>https://w3id.org/pmd/matsus/MATSUS_0000013</t>
        </is>
      </c>
      <c r="E8" s="33" t="inlineStr">
        <is>
          <t>A waste material composed predominantly of textile material or discarded textile products.</t>
        </is>
      </c>
      <c r="F8" s="33" t="inlineStr">
        <is>
          <t>MatSus waste material (https://w3id.org/pmd/matsus/MATSUS_0000008)</t>
        </is>
      </c>
      <c r="G8" s="33" t="inlineStr">
        <is>
          <t>ACCEPT PROVISIONALLY — usable broad subtype; keep source-specific textile composition/product criteria outside the core definition for now.</t>
        </is>
      </c>
      <c r="H8" s="33" t="inlineStr">
        <is>
          <t>MEDIUM</t>
        </is>
      </c>
      <c r="I8" s="33" t="inlineStr">
        <is>
          <t>MATSUS_0000013 SubClassOf MATSUS_0000008.</t>
        </is>
      </c>
      <c r="J8" s="33" t="inlineStr">
        <is>
          <t>Later: add fibre, composition, or product-type refinements only from concrete use cases.</t>
        </is>
      </c>
      <c r="K8" s="33" t="inlineStr">
        <is>
          <t>https://github.com/materialdigital/core-ontology/issues/485</t>
        </is>
      </c>
      <c r="L8" s="33" t="inlineStr">
        <is>
          <t>IMPLEMENTED IN MATSUS-EDIT (MKB1 IR2 BATCH 2)</t>
        </is>
      </c>
      <c r="M8" s="33" t="n"/>
      <c r="N8" s="33" t="inlineStr">
        <is>
          <t>Intentionally broad provisional subtype.</t>
        </is>
      </c>
      <c r="O8" s="33" t="inlineStr">
        <is>
          <t>MKB-000249; SRC-001 Circular Berlin; Master Analysis row 111.</t>
        </is>
      </c>
      <c r="P8" s="33" t="inlineStr">
        <is>
          <t>new MatSus subclass of waste material</t>
        </is>
      </c>
      <c r="Q8"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9" ht="28" customHeight="1">
      <c r="A9" s="33" t="inlineStr">
        <is>
          <t>Supporting waste process</t>
        </is>
      </c>
      <c r="B9" s="33" t="inlineStr">
        <is>
          <t>MatSus</t>
        </is>
      </c>
      <c r="C9" s="33" t="inlineStr">
        <is>
          <t>waste collection process</t>
        </is>
      </c>
      <c r="D9" s="33" t="inlineStr">
        <is>
          <t>https://w3id.org/pmd/matsus/MATSUS_0000015</t>
        </is>
      </c>
      <c r="E9" s="33" t="inlineStr">
        <is>
          <t>A planned process in which waste material is gathered from one or more holders or locations for transport, storage, sorting, recovery, treatment, or disposal.</t>
        </is>
      </c>
      <c r="F9" s="33" t="inlineStr">
        <is>
          <t>COB planned process (http://purl.obolibrary.org/obo/COB_0000082)</t>
        </is>
      </c>
      <c r="G9" s="33" t="inlineStr">
        <is>
          <t>ACCEPT — planned-process parent and definition are appropriate.</t>
        </is>
      </c>
      <c r="H9" s="33" t="inlineStr">
        <is>
          <t>HIGH</t>
        </is>
      </c>
      <c r="I9" s="33" t="inlineStr">
        <is>
          <t>MATSUS_0000015 SubClassOf COB_0000082.</t>
        </is>
      </c>
      <c r="J9" s="33" t="inlineStr">
        <is>
          <t>Later: add waste participant, origin, destination, and responsible-agent relations.</t>
        </is>
      </c>
      <c r="K9" s="33" t="inlineStr">
        <is>
          <t>https://github.com/materialdigital/core-ontology/issues/485</t>
        </is>
      </c>
      <c r="L9" s="33" t="inlineStr">
        <is>
          <t>IMPLEMENTED IN MATSUS-EDIT (MKB1 IR2 BATCH 2)</t>
        </is>
      </c>
      <c r="M9" s="33" t="n"/>
      <c r="N9" s="33" t="inlineStr">
        <is>
          <t>Supporting process with no standalone MKB ID.</t>
        </is>
      </c>
      <c r="O9" s="33" t="inlineStr">
        <is>
          <t>Class Review row 9; human-gate Closure related-terms decision.</t>
        </is>
      </c>
      <c r="P9" s="33" t="inlineStr">
        <is>
          <t>new MatSus subclass of COB planned process</t>
        </is>
      </c>
      <c r="Q9"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0" ht="28" customHeight="1">
      <c r="A10" s="33" t="inlineStr">
        <is>
          <t>MKB-000231 supporting class</t>
        </is>
      </c>
      <c r="B10" s="33" t="inlineStr">
        <is>
          <t>MatSus</t>
        </is>
      </c>
      <c r="C10" s="33" t="inlineStr">
        <is>
          <t>sorting process</t>
        </is>
      </c>
      <c r="D10" s="33" t="inlineStr">
        <is>
          <t>https://w3id.org/pmd/matsus/MATSUS_0000016</t>
        </is>
      </c>
      <c r="E10" s="33" t="inlineStr">
        <is>
          <t>A planned process in which material entities are assigned to different groups or streams according to specified criteria.</t>
        </is>
      </c>
      <c r="F10" s="33" t="inlineStr">
        <is>
          <t>COB planned process (http://purl.obolibrary.org/obo/COB_0000082)</t>
        </is>
      </c>
      <c r="G10" s="33" t="inlineStr">
        <is>
          <t>ACCEPT — generic sorting is correctly represented as a process.</t>
        </is>
      </c>
      <c r="H10" s="33" t="inlineStr">
        <is>
          <t>HIGH</t>
        </is>
      </c>
      <c r="I10" s="33" t="inlineStr">
        <is>
          <t>MATSUS_0000016 SubClassOf COB_0000082.</t>
        </is>
      </c>
      <c r="J10" s="33" t="inlineStr">
        <is>
          <t>Later: connect criteria/method specifications and sorted inputs/outputs.</t>
        </is>
      </c>
      <c r="K10" s="33" t="n"/>
      <c r="L10" s="33" t="inlineStr">
        <is>
          <t>IMPLEMENTED IN MATSUS-EDIT (MKB1 IR2 BATCH 2)</t>
        </is>
      </c>
      <c r="M10" s="33" t="n"/>
      <c r="N10" s="33" t="inlineStr">
        <is>
          <t>Generic sorting is represented as a process.</t>
        </is>
      </c>
      <c r="O10" s="33" t="inlineStr">
        <is>
          <t>MKB-000231; SRC-001 Circular Berlin; Master Analysis row 106; no acceptable maintained equivalent found.</t>
        </is>
      </c>
      <c r="P10" s="33" t="inlineStr">
        <is>
          <t>new MatSus subclass of COB planned process</t>
        </is>
      </c>
      <c r="Q10"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1" ht="28" customHeight="1">
      <c r="A11" s="33" t="inlineStr">
        <is>
          <t>Supporting waste process</t>
        </is>
      </c>
      <c r="B11" s="33" t="inlineStr">
        <is>
          <t>MatSus</t>
        </is>
      </c>
      <c r="C11" s="33" t="inlineStr">
        <is>
          <t>waste separation process</t>
        </is>
      </c>
      <c r="D11" s="33" t="inlineStr">
        <is>
          <t>https://w3id.org/pmd/matsus/MATSUS_0000018</t>
        </is>
      </c>
      <c r="E11" s="33" t="inlineStr">
        <is>
          <t>A sorting process in which waste material is assigned to different groups or streams according to specified criteria.</t>
        </is>
      </c>
      <c r="F11" s="33" t="inlineStr">
        <is>
          <t>MatSus sorting process (https://w3id.org/pmd/matsus/MATSUS_0000016)</t>
        </is>
      </c>
      <c r="G11" s="33" t="inlineStr">
        <is>
          <t>ACCEPT — waste separation is a defensible sorting-process subtype.</t>
        </is>
      </c>
      <c r="H11" s="33" t="inlineStr">
        <is>
          <t>HIGH</t>
        </is>
      </c>
      <c r="I11" s="33" t="inlineStr">
        <is>
          <t>MATSUS_0000018 SubClassOf MATSUS_0000016.</t>
        </is>
      </c>
      <c r="J11" s="33" t="inlineStr">
        <is>
          <t>Later: add waste input and separated-stream output restrictions after example testing.</t>
        </is>
      </c>
      <c r="K11" s="33" t="inlineStr">
        <is>
          <t>https://github.com/materialdigital/core-ontology/issues/485</t>
        </is>
      </c>
      <c r="L11" s="33" t="inlineStr">
        <is>
          <t>IMPLEMENTED IN MATSUS-EDIT (MKB1 IR2 BATCH 2)</t>
        </is>
      </c>
      <c r="M11" s="33" t="n"/>
      <c r="N11" s="33" t="inlineStr">
        <is>
          <t>Supporting process with no standalone MKB ID.</t>
        </is>
      </c>
      <c r="O11" s="33" t="inlineStr">
        <is>
          <t>Class Review row 11; human-gate Closure related-terms decision.</t>
        </is>
      </c>
      <c r="P11" s="33" t="inlineStr">
        <is>
          <t>new MatSus subclass of sorting process</t>
        </is>
      </c>
      <c r="Q11"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2" ht="28" customHeight="1">
      <c r="A12" s="33" t="inlineStr">
        <is>
          <t>MKB-000263</t>
        </is>
      </c>
      <c r="B12" s="33" t="inlineStr">
        <is>
          <t>MatSus</t>
        </is>
      </c>
      <c r="C12" s="33" t="inlineStr">
        <is>
          <t>waste generation process</t>
        </is>
      </c>
      <c r="D12" s="33" t="inlineStr">
        <is>
          <t>https://w3id.org/pmd/matsus/MATSUS_0000019</t>
        </is>
      </c>
      <c r="E12" s="33" t="inlineStr">
        <is>
          <t>A process that has as output a material entity that bears a waste role.</t>
        </is>
      </c>
      <c r="F12" s="33" t="inlineStr">
        <is>
          <t>BFO process (http://purl.obolibrary.org/obo/BFO_0000015)</t>
        </is>
      </c>
      <c r="G12" s="33" t="inlineStr">
        <is>
          <t>ACCEPT — the general process parent avoids incorrectly assuming intentional production.</t>
        </is>
      </c>
      <c r="H12" s="33" t="inlineStr">
        <is>
          <t>HIGH</t>
        </is>
      </c>
      <c r="I12" s="33" t="inlineStr">
        <is>
          <t>MATSUS_0000019 SubClassOf BFO_0000015; MATSUS_0000019 SubClassOf RO_0002234 some MATSUS_0000008.</t>
        </is>
      </c>
      <c r="J12" s="33" t="inlineStr">
        <is>
          <t>Later: distinguish planned and unplanned generation through context unless required otherwise.</t>
        </is>
      </c>
      <c r="K12" s="33" t="inlineStr">
        <is>
          <t>https://github.com/materialdigital/core-ontology/issues/485</t>
        </is>
      </c>
      <c r="L12" s="33" t="inlineStr">
        <is>
          <t>IMPLEMENTED IN MATSUS-EDIT (MKB1 IR2 BATCH 2)</t>
        </is>
      </c>
      <c r="M12" s="33" t="n"/>
      <c r="N12" s="33" t="inlineStr">
        <is>
          <t>Generation is not assumed to be planned production or synthesis.</t>
        </is>
      </c>
      <c r="O12" s="33" t="inlineStr">
        <is>
          <t>MKB-000263; SRC-003 European Environment Agency; Master Analysis row 115.</t>
        </is>
      </c>
      <c r="P12" s="33" t="inlineStr">
        <is>
          <t>new MatSus subclass of BFO process with a necessary waste-material output restriction</t>
        </is>
      </c>
      <c r="Q12"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3" ht="28" customHeight="1">
      <c r="A13" s="33" t="inlineStr">
        <is>
          <t>MKB-000264</t>
        </is>
      </c>
      <c r="B13" s="33" t="inlineStr">
        <is>
          <t>MatSus</t>
        </is>
      </c>
      <c r="C13" s="33" t="inlineStr">
        <is>
          <t>waste prevention process</t>
        </is>
      </c>
      <c r="D13" s="33" t="inlineStr">
        <is>
          <t>https://w3id.org/pmd/matsus/MATSUS_0000020</t>
        </is>
      </c>
      <c r="E13" s="33" t="inlineStr">
        <is>
          <t>A planned process that is intended to reduce the quantity or harmfulness of waste generated, or the adverse impacts of generated waste on the environment and human health.</t>
        </is>
      </c>
      <c r="F13" s="33" t="inlineStr">
        <is>
          <t>COB planned process (http://purl.obolibrary.org/obo/COB_0000082)</t>
        </is>
      </c>
      <c r="G13" s="33" t="inlineStr">
        <is>
          <t>ACCEPT — the process/specification split is correct.</t>
        </is>
      </c>
      <c r="H13" s="33" t="inlineStr">
        <is>
          <t>HIGH</t>
        </is>
      </c>
      <c r="I13" s="33" t="inlineStr">
        <is>
          <t>MATSUS_0000020 SubClassOf COB_0000082.</t>
        </is>
      </c>
      <c r="J13" s="33" t="inlineStr">
        <is>
          <t>Later: relate the process to targeted streams and prevention outcomes.</t>
        </is>
      </c>
      <c r="K13" s="33" t="inlineStr">
        <is>
          <t>https://github.com/materialdigital/core-ontology/issues/485</t>
        </is>
      </c>
      <c r="L13" s="33" t="inlineStr">
        <is>
          <t>IMPLEMENTED IN MATSUS-EDIT (MKB1 IR2 BATCH 2)</t>
        </is>
      </c>
      <c r="M13" s="33" t="n"/>
      <c r="N13" s="33" t="inlineStr">
        <is>
          <t>Keep the performed process distinct from its measure specification.</t>
        </is>
      </c>
      <c r="O13" s="33" t="inlineStr">
        <is>
          <t>MKB-000264; SRC-001 Circular Berlin; SRC-003 European Environment Agency; Master Analysis row 116.</t>
        </is>
      </c>
      <c r="P13" s="33" t="inlineStr">
        <is>
          <t>new MatSus subclass of COB planned process</t>
        </is>
      </c>
      <c r="Q13"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4" ht="28" customHeight="1">
      <c r="A14" s="33" t="inlineStr">
        <is>
          <t>MKB-000264</t>
        </is>
      </c>
      <c r="B14" s="33" t="inlineStr">
        <is>
          <t>MatSus</t>
        </is>
      </c>
      <c r="C14" s="33" t="inlineStr">
        <is>
          <t>waste prevention measure specification</t>
        </is>
      </c>
      <c r="D14" s="33" t="inlineStr">
        <is>
          <t>https://w3id.org/pmd/matsus/MATSUS_0000021</t>
        </is>
      </c>
      <c r="E14" s="33" t="inlineStr">
        <is>
          <t>A plan specification that prescribes actions intended to realize a waste prevention process.</t>
        </is>
      </c>
      <c r="F14" s="33" t="inlineStr">
        <is>
          <t>IAO plan specification (http://purl.obolibrary.org/obo/IAO_0000104)</t>
        </is>
      </c>
      <c r="G14" s="33" t="inlineStr">
        <is>
          <t>ACCEPT — it is an information artifact prescribing a prevention process, not the process itself.</t>
        </is>
      </c>
      <c r="H14" s="33" t="inlineStr">
        <is>
          <t>HIGH</t>
        </is>
      </c>
      <c r="I14" s="33" t="inlineStr">
        <is>
          <t>MATSUS_0000021 SubClassOf IAO_0000104.</t>
        </is>
      </c>
      <c r="J14" s="33" t="inlineStr">
        <is>
          <t>Later: connect it to the prescribed process.</t>
        </is>
      </c>
      <c r="K14" s="33" t="inlineStr">
        <is>
          <t>https://github.com/materialdigital/core-ontology/issues/485</t>
        </is>
      </c>
      <c r="L14" s="33" t="inlineStr">
        <is>
          <t>IMPLEMENTED IN MATSUS-EDIT (MKB1 IR2 BATCH 2)</t>
        </is>
      </c>
      <c r="M14" s="33" t="n"/>
      <c r="N14" s="33" t="inlineStr">
        <is>
          <t>This is an information artifact, not a process.</t>
        </is>
      </c>
      <c r="O14" s="33" t="inlineStr">
        <is>
          <t>MKB-000264; SRC-001 Circular Berlin; SRC-003 European Environment Agency; Master Analysis row 116.</t>
        </is>
      </c>
      <c r="P14" s="33" t="inlineStr">
        <is>
          <t>new MatSus subclass of IAO plan specification</t>
        </is>
      </c>
      <c r="Q14"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5" ht="42" customHeight="1">
      <c r="A15" s="33" t="inlineStr">
        <is>
          <t>MKB-000266</t>
        </is>
      </c>
      <c r="B15" s="33" t="inlineStr">
        <is>
          <t>MatSus</t>
        </is>
      </c>
      <c r="C15" s="33" t="inlineStr">
        <is>
          <t>zero waste objective specification</t>
        </is>
      </c>
      <c r="D15" s="33" t="inlineStr">
        <is>
          <t>https://w3id.org/pmd/matsus/MATSUS_0000022</t>
        </is>
      </c>
      <c r="E15" s="33" t="inlineStr">
        <is>
          <t>An objective specification that describes an intended endpoint in which waste generation and disposal are prevented or minimized through responsible production, consumption, reuse, and recovery.</t>
        </is>
      </c>
      <c r="F15" s="33" t="inlineStr">
        <is>
          <t>IAO objective specification (http://purl.obolibrary.org/obo/IAO_0000005)</t>
        </is>
      </c>
      <c r="G15" s="33" t="inlineStr">
        <is>
          <t>ACCEPT — zero waste is correctly represented as a desired endpoint.</t>
        </is>
      </c>
      <c r="H15" s="33" t="inlineStr">
        <is>
          <t>HIGH</t>
        </is>
      </c>
      <c r="I15" s="33" t="inlineStr">
        <is>
          <t>MATSUS_0000022 SubClassOf IAO_0000005.</t>
        </is>
      </c>
      <c r="J15" s="33" t="inlineStr">
        <is>
          <t>Later: represent scope, baseline, and tolerated residual waste if needed.</t>
        </is>
      </c>
      <c r="K15" s="33" t="inlineStr">
        <is>
          <t>https://github.com/materialdigital/core-ontology/issues/485</t>
        </is>
      </c>
      <c r="L15" s="33" t="inlineStr">
        <is>
          <t>IMPLEMENTED IN MATSUS-EDIT (MKB1 IR2 BATCH 2)</t>
        </is>
      </c>
      <c r="M15" s="33" t="n"/>
      <c r="N15" s="33" t="inlineStr">
        <is>
          <t>Zero waste is normative information content, not a material or process.</t>
        </is>
      </c>
      <c r="O15" s="33" t="inlineStr">
        <is>
          <t>MKB-000266; SRC-001 Circular Berlin; Master Analysis row 117.</t>
        </is>
      </c>
      <c r="P15" s="33" t="inlineStr">
        <is>
          <t>new MatSus subclass of IAO objective specification</t>
        </is>
      </c>
      <c r="Q15"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6" ht="28" customHeight="1">
      <c r="A16" s="33" t="inlineStr">
        <is>
          <t>MKB-000266</t>
        </is>
      </c>
      <c r="B16" s="33" t="inlineStr">
        <is>
          <t>MatSus</t>
        </is>
      </c>
      <c r="C16" s="33" t="inlineStr">
        <is>
          <t>zero waste strategy specification</t>
        </is>
      </c>
      <c r="D16" s="33" t="inlineStr">
        <is>
          <t>https://w3id.org/pmd/matsus/MATSUS_0000023</t>
        </is>
      </c>
      <c r="E16" s="33" t="inlineStr">
        <is>
          <t>A plan specification that prescribes actions intended to achieve a zero-waste objective.</t>
        </is>
      </c>
      <c r="F16" s="33" t="inlineStr">
        <is>
          <t>IAO plan specification (http://purl.obolibrary.org/obo/IAO_0000104)</t>
        </is>
      </c>
      <c r="G16" s="33" t="inlineStr">
        <is>
          <t>ACCEPT — a strategy is correctly separated from the objective.</t>
        </is>
      </c>
      <c r="H16" s="33" t="inlineStr">
        <is>
          <t>HIGH</t>
        </is>
      </c>
      <c r="I16" s="33" t="inlineStr">
        <is>
          <t>MATSUS_0000023 SubClassOf IAO_0000104.</t>
        </is>
      </c>
      <c r="J16" s="33" t="inlineStr">
        <is>
          <t>Later: relate it to the objective and prescribed prevention, reuse, and recovery processes.</t>
        </is>
      </c>
      <c r="K16" s="33" t="inlineStr">
        <is>
          <t>https://github.com/materialdigital/core-ontology/issues/485</t>
        </is>
      </c>
      <c r="L16" s="33" t="inlineStr">
        <is>
          <t>IMPLEMENTED IN MATSUS-EDIT (MKB1 IR2 BATCH 2)</t>
        </is>
      </c>
      <c r="M16" s="33" t="n"/>
      <c r="N16" s="33" t="inlineStr">
        <is>
          <t>Keep the strategy distinct from its objective.</t>
        </is>
      </c>
      <c r="O16" s="33" t="inlineStr">
        <is>
          <t>MKB-000266; SRC-001 Circular Berlin; Master Analysis row 117.</t>
        </is>
      </c>
      <c r="P16" s="33" t="inlineStr">
        <is>
          <t>new MatSus subclass of IAO plan specification</t>
        </is>
      </c>
      <c r="Q16"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7" ht="28" customHeight="1">
      <c r="A17" s="33" t="inlineStr">
        <is>
          <t>MKB-000236</t>
        </is>
      </c>
      <c r="B17" s="33" t="inlineStr">
        <is>
          <t>MatSus</t>
        </is>
      </c>
      <c r="C17" s="33" t="inlineStr">
        <is>
          <t>waste analysis</t>
        </is>
      </c>
      <c r="D17" s="33" t="inlineStr">
        <is>
          <t>https://w3id.org/pmd/matsus/MATSUS_0000025</t>
        </is>
      </c>
      <c r="E17" s="33" t="inlineStr">
        <is>
          <t>An assay intended to produce information about waste material, a waste-generating process, or a waste stream.</t>
        </is>
      </c>
      <c r="F17" s="33" t="inlineStr">
        <is>
          <t>OBI assay (http://purl.obolibrary.org/obo/OBI_0000070)</t>
        </is>
      </c>
      <c r="G17" s="33" t="inlineStr">
        <is>
          <t>ACCEPT — analysis as an assay producing information is the right pattern.</t>
        </is>
      </c>
      <c r="H17" s="33" t="inlineStr">
        <is>
          <t>HIGH</t>
        </is>
      </c>
      <c r="I17" s="33" t="inlineStr">
        <is>
          <t>MATSUS_0000025 SubClassOf OBI_0000070.</t>
        </is>
      </c>
      <c r="J17" s="33" t="inlineStr">
        <is>
          <t>Later: add evaluant, method, and output-datum relations using a concrete example.</t>
        </is>
      </c>
      <c r="K17" s="33" t="inlineStr">
        <is>
          <t>https://github.com/materialdigital/core-ontology/issues/485</t>
        </is>
      </c>
      <c r="L17" s="33" t="inlineStr">
        <is>
          <t>IMPLEMENTED IN MATSUS-EDIT (MKB1 IR2 BATCH 2)</t>
        </is>
      </c>
      <c r="M17" s="33" t="n"/>
      <c r="N17" s="33" t="inlineStr">
        <is>
          <t>Analysis is an assay, not the information output itself.</t>
        </is>
      </c>
      <c r="O17" s="33" t="inlineStr">
        <is>
          <t>MKB-000236; SRC-001 Circular Berlin; Master Analysis row 107.</t>
        </is>
      </c>
      <c r="P17" s="33" t="inlineStr">
        <is>
          <t>new MatSus subclass of OBI assay</t>
        </is>
      </c>
      <c r="Q17"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8" ht="28" customHeight="1">
      <c r="A18" s="33" t="inlineStr">
        <is>
          <t>MKB-000236</t>
        </is>
      </c>
      <c r="B18" s="33" t="inlineStr">
        <is>
          <t>MatSus</t>
        </is>
      </c>
      <c r="C18" s="33" t="inlineStr">
        <is>
          <t>structural waste analysis</t>
        </is>
      </c>
      <c r="D18" s="33" t="inlineStr">
        <is>
          <t>https://w3id.org/pmd/matsus/MATSUS_0000026</t>
        </is>
      </c>
      <c r="E18" s="33" t="inlineStr">
        <is>
          <t>A waste analysis intended to produce information about the composition, organization, or distribution of material constituents within a waste material or waste stream.</t>
        </is>
      </c>
      <c r="F18" s="33" t="inlineStr">
        <is>
          <t>MatSus waste analysis (https://w3id.org/pmd/matsus/MATSUS_0000025)</t>
        </is>
      </c>
      <c r="G18" s="33" t="inlineStr">
        <is>
          <t>ACCEPT — narrowed to composition, organization, or distribution of material constituents; recurring-source analysis is deferred as a sibling.</t>
        </is>
      </c>
      <c r="H18" s="33" t="inlineStr">
        <is>
          <t>MEDIUM</t>
        </is>
      </c>
      <c r="I18" s="33" t="inlineStr">
        <is>
          <t>MATSUS_0000026 SubClassOf MATSUS_0000025.</t>
        </is>
      </c>
      <c r="J18" s="33" t="inlineStr">
        <is>
          <t>Later: consider recurring-source analysis as a deferred sibling class.</t>
        </is>
      </c>
      <c r="K18" s="33" t="inlineStr">
        <is>
          <t>https://github.com/materialdigital/core-ontology/issues/485</t>
        </is>
      </c>
      <c r="L18" s="33" t="inlineStr">
        <is>
          <t>IMPLEMENTED IN MATSUS-EDIT (MKB1 IR2 BATCH 2)</t>
        </is>
      </c>
      <c r="M18" s="33" t="inlineStr">
        <is>
          <t>thoughts before resovling: dont get whats the problem with the draft definition mixes structural/compositional analysis with recurring-source analysis; narrow the definition or rename the class. cant it be generic? whats isdiffernet between structral waste analysis and waste anaylsis in matsus Resolution: narrow StructuralWasteAnalysis and defer recurring-source analysis as a sibling.</t>
        </is>
      </c>
      <c r="N18" s="33" t="inlineStr">
        <is>
          <t>Recurring-generation-pattern analysis is intentionally excluded from this definition.</t>
        </is>
      </c>
      <c r="O18" s="33" t="inlineStr">
        <is>
          <t>MKB-000236; SRC-001 Circular Berlin; Master Analysis row 107.</t>
        </is>
      </c>
      <c r="P18" s="33" t="inlineStr">
        <is>
          <t>new MatSus subclass of waste analysis</t>
        </is>
      </c>
      <c r="Q18"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19" ht="28" customHeight="1">
      <c r="A19" s="33" t="inlineStr">
        <is>
          <t>MKB-000181; MKB-000182</t>
        </is>
      </c>
      <c r="B19" s="33" t="inlineStr">
        <is>
          <t>MatSus</t>
        </is>
      </c>
      <c r="C19" s="33" t="inlineStr">
        <is>
          <t>refill process</t>
        </is>
      </c>
      <c r="D19" s="33" t="inlineStr">
        <is>
          <t>https://w3id.org/pmd/matsus/RefillProcess</t>
        </is>
      </c>
      <c r="E19" s="33" t="inlineStr">
        <is>
          <t>A planned process in which a product container or dispensing device is supplied again with a material product for further use without first becoming waste.</t>
        </is>
      </c>
      <c r="F19" s="33" t="inlineStr">
        <is>
          <t>COB planned process (COB_0000082)</t>
        </is>
      </c>
      <c r="G19" s="33" t="inlineStr">
        <is>
          <t>ACCEPT — one generic process correctly consolidates at-home and on-the-go contexts.</t>
        </is>
      </c>
      <c r="H19" s="33" t="inlineStr">
        <is>
          <t>HIGH</t>
        </is>
      </c>
      <c r="I19" s="33" t="inlineStr">
        <is>
          <t>RefillProcess SubClassOf COB planned process.</t>
        </is>
      </c>
      <c r="J19" s="33" t="inlineStr">
        <is>
          <t>Later: add container/device, refilled material and context relations only when queries require them.</t>
        </is>
      </c>
      <c r="K19" s="33" t="n"/>
      <c r="L19" s="33" t="inlineStr">
        <is>
          <t>DRAFT EXISTS; NOT IN CURRENT SOURCE</t>
        </is>
      </c>
      <c r="M19" s="33" t="n"/>
      <c r="N19" s="33" t="n"/>
    </row>
    <row r="20" ht="28" customHeight="1">
      <c r="A20" s="33" t="inlineStr">
        <is>
          <t>MKB-000231</t>
        </is>
      </c>
      <c r="B20" s="33" t="inlineStr">
        <is>
          <t>MatSus</t>
        </is>
      </c>
      <c r="C20" s="33" t="inlineStr">
        <is>
          <t>sorting method specification</t>
        </is>
      </c>
      <c r="D20" s="33" t="inlineStr">
        <is>
          <t>https://w3id.org/pmd/matsus/MATSUS_0000017</t>
        </is>
      </c>
      <c r="E20" s="33" t="inlineStr">
        <is>
          <t>A plan specification that prescribes how a sorting process is to be carried out.</t>
        </is>
      </c>
      <c r="F20" s="33" t="inlineStr">
        <is>
          <t>IAO plan specification (http://purl.obolibrary.org/obo/IAO_0000104)</t>
        </is>
      </c>
      <c r="G20" s="33" t="inlineStr">
        <is>
          <t>ACCEPT — correctly modelled as an information artifact, explicitly not as a sorting-process subclass.</t>
        </is>
      </c>
      <c r="H20" s="33" t="inlineStr">
        <is>
          <t>HIGH</t>
        </is>
      </c>
      <c r="I20" s="33" t="inlineStr">
        <is>
          <t>MATSUS_0000017 SubClassOf IAO_0000104. No subclass axiom to MATSUS_0000016.</t>
        </is>
      </c>
      <c r="J20" s="33" t="inlineStr">
        <is>
          <t>Later: relate the method specification to the sorting process it prescribes.</t>
        </is>
      </c>
      <c r="K20" s="33" t="n"/>
      <c r="L20" s="33" t="inlineStr">
        <is>
          <t>IMPLEMENTED IN MATSUS-EDIT (MKB1 IR2 BATCH 2)</t>
        </is>
      </c>
      <c r="M20" s="33" t="n"/>
      <c r="N20" s="33" t="inlineStr">
        <is>
          <t>This is an information content entity and is not a subclass of SortingProcess.</t>
        </is>
      </c>
      <c r="O20" s="33" t="inlineStr">
        <is>
          <t>MKB-000231; SRC-001 Circular Berlin; Master Analysis row 106.</t>
        </is>
      </c>
      <c r="P20" s="33" t="inlineStr">
        <is>
          <t>new MatSus subclass of IAO plan specification</t>
        </is>
      </c>
      <c r="Q20"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21" ht="28" customHeight="1">
      <c r="A21" s="33" t="inlineStr">
        <is>
          <t>MKB-000202</t>
        </is>
      </c>
      <c r="B21" s="33" t="inlineStr">
        <is>
          <t>MatSus</t>
        </is>
      </c>
      <c r="C21" s="33" t="inlineStr">
        <is>
          <t>repurposing process</t>
        </is>
      </c>
      <c r="D21" s="33" t="inlineStr">
        <is>
          <t>https://w3id.org/pmd/matsus/RepurposingProcess</t>
        </is>
      </c>
      <c r="E21" s="33" t="inlineStr">
        <is>
          <t>A planned process in which a product, component, or material is prepared or modified so that it can fulfil a purpose different from its preceding intended purpose.</t>
        </is>
      </c>
      <c r="F21" s="33" t="inlineStr">
        <is>
          <t>COB planned process (COB_0000082)</t>
        </is>
      </c>
      <c r="G21" s="33" t="inlineStr">
        <is>
          <t>ACCEPT — the new-purpose distinction is captured clearly.</t>
        </is>
      </c>
      <c r="H21" s="33" t="inlineStr">
        <is>
          <t>HIGH</t>
        </is>
      </c>
      <c r="I21" s="33" t="inlineStr">
        <is>
          <t>RepurposingProcess SubClassOf COB planned process.</t>
        </is>
      </c>
      <c r="J21" s="33" t="inlineStr">
        <is>
          <t>Later: represent prior intended purpose, new intended purpose and affected product/component/material.</t>
        </is>
      </c>
      <c r="K21" s="33" t="n"/>
      <c r="L21" s="33" t="inlineStr">
        <is>
          <t>DRAFT EXISTS; NOT IN CURRENT SOURCE</t>
        </is>
      </c>
      <c r="M21" s="33" t="n"/>
      <c r="N21" s="33" t="n"/>
    </row>
    <row r="22" ht="28" customHeight="1">
      <c r="A22" s="33" t="inlineStr">
        <is>
          <t>MKB-000009</t>
        </is>
      </c>
      <c r="B22" s="33" t="inlineStr">
        <is>
          <t>MatSus</t>
        </is>
      </c>
      <c r="C22" s="33" t="inlineStr">
        <is>
          <t>battery repurposing process</t>
        </is>
      </c>
      <c r="D22" s="33" t="inlineStr">
        <is>
          <t>https://w3id.org/pmd/matsus/BatteryRepurposingProcess</t>
        </is>
      </c>
      <c r="E22" s="33" t="inlineStr">
        <is>
          <t>A repurposing process whose primary participant is a battery or battery component.</t>
        </is>
      </c>
      <c r="F22" s="33" t="inlineStr">
        <is>
          <t>MatSus repurposing process</t>
        </is>
      </c>
      <c r="G22" s="33" t="inlineStr">
        <is>
          <t>ACCEPT — appropriate battery-specific specialization.</t>
        </is>
      </c>
      <c r="H22" s="33" t="inlineStr">
        <is>
          <t>HIGH</t>
        </is>
      </c>
      <c r="I22" s="33" t="inlineStr">
        <is>
          <t>BatteryRepurposingProcess SubClassOf RepurposingProcess.</t>
        </is>
      </c>
      <c r="J22" s="33" t="inlineStr">
        <is>
          <t>Later: add battery participant and second-life/new-purpose relations from a use case.</t>
        </is>
      </c>
      <c r="K22" s="33" t="n"/>
      <c r="L22" s="33" t="inlineStr">
        <is>
          <t>DRAFT EXISTS; NOT IN CURRENT SOURCE</t>
        </is>
      </c>
      <c r="M22" s="33" t="n"/>
      <c r="N22" s="33" t="n"/>
    </row>
    <row r="23" ht="28" customHeight="1">
      <c r="A23" s="33" t="inlineStr">
        <is>
          <t>MKB-000189</t>
        </is>
      </c>
      <c r="B23" s="33" t="inlineStr">
        <is>
          <t>MatSus</t>
        </is>
      </c>
      <c r="C23" s="33" t="inlineStr">
        <is>
          <t>remanufacturing process</t>
        </is>
      </c>
      <c r="D23" s="33" t="inlineStr">
        <is>
          <t>https://w3id.org/pmd/matsus/RemanufacturingProcess</t>
        </is>
      </c>
      <c r="E23" s="33" t="inlineStr">
        <is>
          <t>A planned process in which a used product or component is restored to a specified performance and quality state through inspection and one or more restorative operations.</t>
        </is>
      </c>
      <c r="F23" s="33" t="inlineStr">
        <is>
          <t>COB planned process (COB_0000082)</t>
        </is>
      </c>
      <c r="G23" s="33" t="inlineStr">
        <is>
          <t>ACCEPT — process parent and restorative-performance definition are defensible.</t>
        </is>
      </c>
      <c r="H23" s="33" t="inlineStr">
        <is>
          <t>HIGH</t>
        </is>
      </c>
      <c r="I23" s="33" t="inlineStr">
        <is>
          <t>RemanufacturingProcess SubClassOf COB planned process.</t>
        </is>
      </c>
      <c r="J23" s="33" t="inlineStr">
        <is>
          <t>Later: model used input, retained identity/components, restorative operations and specified output state.</t>
        </is>
      </c>
      <c r="K23" s="33" t="n"/>
      <c r="L23" s="33" t="inlineStr">
        <is>
          <t>DRAFT EXISTS; NOT IN CURRENT SOURCE</t>
        </is>
      </c>
      <c r="M23" s="33" t="n"/>
      <c r="N23" s="33" t="n"/>
    </row>
    <row r="24" ht="76" customHeight="1">
      <c r="A24" s="33" t="inlineStr">
        <is>
          <t>MKB-000180</t>
        </is>
      </c>
      <c r="B24" s="33" t="inlineStr">
        <is>
          <t>MatSus</t>
        </is>
      </c>
      <c r="C24" s="33" t="inlineStr">
        <is>
          <t>resource input reduction process</t>
        </is>
      </c>
      <c r="D24" s="33" t="inlineStr">
        <is>
          <t>https://w3id.org/pmd/matsus/ResourceInputReductionProcess</t>
        </is>
      </c>
      <c r="E24" s="33" t="inlineStr">
        <is>
          <t>A planned process intended to reduce the amount of material input used by a process or system.</t>
        </is>
      </c>
      <c r="F24" s="33" t="inlineStr">
        <is>
          <t>COB planned process (COB_0000082)</t>
        </is>
      </c>
      <c r="G24" s="33" t="inlineStr">
        <is>
          <t>ACCEPT — broad intentional intervention class; the process may reduce material input directly or by changing another process or system.</t>
        </is>
      </c>
      <c r="H24" s="33" t="inlineStr">
        <is>
          <t>HIGH</t>
        </is>
      </c>
      <c r="I24" s="33" t="inlineStr">
        <is>
          <t>ResourceInputReductionProcess SubClassOf COB planned process.</t>
        </is>
      </c>
      <c r="J24" s="33" t="inlineStr">
        <is>
          <t>Evaluate the reduction relative to a stated baseline under comparable conditions. Later: model affected process/system, material input, baseline and comparable output or function.</t>
        </is>
      </c>
      <c r="K24" s="33" t="n"/>
      <c r="L24" s="33" t="inlineStr">
        <is>
          <t>DRAFT EXISTS; NOT IN CURRENT SOURCE</t>
        </is>
      </c>
      <c r="M24" s="33" t="n"/>
      <c r="N24" s="33" t="n"/>
    </row>
    <row r="25" ht="28" customHeight="1">
      <c r="A25" s="33" t="inlineStr">
        <is>
          <t>MKB-000085</t>
        </is>
      </c>
      <c r="B25" s="33" t="inlineStr">
        <is>
          <t>MatSus</t>
        </is>
      </c>
      <c r="C25" s="33" t="inlineStr">
        <is>
          <t>waste elimination objective specification</t>
        </is>
      </c>
      <c r="D25" s="33" t="inlineStr">
        <is>
          <t>https://w3id.org/pmd/matsus/MATSUS_0000024</t>
        </is>
      </c>
      <c r="E25" s="33" t="inlineStr">
        <is>
          <t>An objective specification that specifies the intended absence of a specified waste output within a stated scope.</t>
        </is>
      </c>
      <c r="F25" s="33" t="inlineStr">
        <is>
          <t>IAO objective specification (http://purl.obolibrary.org/obo/IAO_0000005)</t>
        </is>
      </c>
      <c r="G25" s="33" t="inlineStr">
        <is>
          <t>ACCEPT PROVISIONALLY — objective-specification modelling is correct; pollution-elimination modelling remains deferred pending a suitable target pattern.</t>
        </is>
      </c>
      <c r="H25" s="33" t="inlineStr">
        <is>
          <t>MEDIUM</t>
        </is>
      </c>
      <c r="I25" s="33" t="inlineStr">
        <is>
          <t>MATSUS_0000024 SubClassOf IAO_0000005.</t>
        </is>
      </c>
      <c r="J25" s="33" t="inlineStr">
        <is>
          <t>Later: link to a scoped waste target and boundary. Pollution-elimination modelling is deferred until a suitable pollution target pattern is established.</t>
        </is>
      </c>
      <c r="K25" s="33" t="inlineStr">
        <is>
          <t>https://github.com/materialdigital/core-ontology/issues/485</t>
        </is>
      </c>
      <c r="L25" s="33" t="inlineStr">
        <is>
          <t>IMPLEMENTED IN MATSUS-EDIT (MKB1 IR2 BATCH 2)</t>
        </is>
      </c>
      <c r="M25" s="33" t="n"/>
      <c r="N25" s="33" t="inlineStr">
        <is>
          <t>MKB-000085 is retained as provenance. Do not create a generic elimination process or pollution class.</t>
        </is>
      </c>
      <c r="O25" s="33" t="inlineStr">
        <is>
          <t>MKB-000085; SRC-002 Ellen MacArthur Foundation; Master Analysis row 56.</t>
        </is>
      </c>
      <c r="P25" s="33" t="inlineStr">
        <is>
          <t>new MatSus subclass of IAO objective specification</t>
        </is>
      </c>
      <c r="Q25"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26" ht="28" customHeight="1">
      <c r="A26" s="33" t="inlineStr">
        <is>
          <t>MKB-000184</t>
        </is>
      </c>
      <c r="B26" s="33" t="inlineStr">
        <is>
          <t>MatSus</t>
        </is>
      </c>
      <c r="C26" s="33" t="inlineStr">
        <is>
          <t>refusal process</t>
        </is>
      </c>
      <c r="D26" s="33" t="inlineStr">
        <is>
          <t>https://w3id.org/pmd/matsus/RefusalProcess</t>
        </is>
      </c>
      <c r="E26" s="33" t="inlineStr">
        <is>
          <t>A planned process in which an agent intentionally declines to acquire, accept, or use a specified product, material, or service in order to avoid its associated resource use or waste generation.</t>
        </is>
      </c>
      <c r="F26" s="33" t="inlineStr">
        <is>
          <t>COB planned process (COB_0000082)</t>
        </is>
      </c>
      <c r="G26" s="33" t="inlineStr">
        <is>
          <t>ACCEPT — intentional refusal is appropriately a planned process rather than a bare verb class.</t>
        </is>
      </c>
      <c r="H26" s="33" t="inlineStr">
        <is>
          <t>HIGH</t>
        </is>
      </c>
      <c r="I26" s="33" t="inlineStr">
        <is>
          <t>RefusalProcess SubClassOf COB planned process.</t>
        </is>
      </c>
      <c r="J26" s="33" t="inlineStr">
        <is>
          <t>Later: add agent, refused entity/service and avoidance objective relations.</t>
        </is>
      </c>
      <c r="K26" s="33" t="n"/>
      <c r="L26" s="33" t="inlineStr">
        <is>
          <t>DRAFT EXISTS; NOT IN CURRENT SOURCE</t>
        </is>
      </c>
      <c r="M26" s="33" t="n"/>
      <c r="N26" s="33" t="n"/>
    </row>
    <row r="27" ht="28" customHeight="1">
      <c r="A27" s="33" t="inlineStr">
        <is>
          <t>MKB-000002; MKB-000069</t>
        </is>
      </c>
      <c r="B27" s="33" t="inlineStr">
        <is>
          <t>MatSus</t>
        </is>
      </c>
      <c r="C27" s="33" t="inlineStr">
        <is>
          <t>decoupling</t>
        </is>
      </c>
      <c r="D27" s="33" t="inlineStr">
        <is>
          <t>https://w3id.org/pmd/matsus/Decoupling</t>
        </is>
      </c>
      <c r="E27" s="33" t="inlineStr">
        <is>
          <t>A data item that records a comparative temporal relationship in which an economic or service output and an associated environmental pressure or resource input change at different rates.</t>
        </is>
      </c>
      <c r="F27" s="33" t="inlineStr">
        <is>
          <t>IAO data item (IAO_0000027)</t>
        </is>
      </c>
      <c r="G27" s="33" t="inlineStr">
        <is>
          <t>ACCEPT — the definition makes clear that the class records a comparative relationship; absolute decoupling remains correctly deferred.</t>
        </is>
      </c>
      <c r="H27" s="33" t="inlineStr">
        <is>
          <t>HIGH</t>
        </is>
      </c>
      <c r="I27" s="33" t="inlineStr">
        <is>
          <t>Decoupling SubClassOf IAO data item.</t>
        </is>
      </c>
      <c r="J27" s="33" t="inlineStr">
        <is>
          <t>Later: represent economic/service output, pressure/resource input, baseline, time interval and comparison method.</t>
        </is>
      </c>
      <c r="K27" s="33" t="n"/>
      <c r="L27" s="33" t="inlineStr">
        <is>
          <t>DRAFT EXISTS; NOT IN CURRENT SOURCE</t>
        </is>
      </c>
      <c r="M27" s="33" t="n"/>
      <c r="N27" s="33" t="n"/>
    </row>
    <row r="28" ht="28" customHeight="1">
      <c r="A28" s="33" t="inlineStr">
        <is>
          <t>MKB-000205</t>
        </is>
      </c>
      <c r="B28" s="33" t="inlineStr">
        <is>
          <t>MatSus</t>
        </is>
      </c>
      <c r="C28" s="33" t="inlineStr">
        <is>
          <t>resource efficiency datum</t>
        </is>
      </c>
      <c r="D28" s="33" t="inlineStr">
        <is>
          <t>https://w3id.org/pmd/matsus/ResourceEfficiencyDatum</t>
        </is>
      </c>
      <c r="E28" s="33" t="inlineStr">
        <is>
          <t>A data item that records the useful output, service, or value obtained per stated quantity of resource input under a specified method, boundary, and time interval.</t>
        </is>
      </c>
      <c r="F28" s="33" t="inlineStr">
        <is>
          <t>IAO data item (IAO_0000027)</t>
        </is>
      </c>
      <c r="G28" s="33" t="inlineStr">
        <is>
          <t>ACCEPT — the class is a calculated/result datum, not an intrinsic universal ‘efficiency’.</t>
        </is>
      </c>
      <c r="H28" s="33" t="inlineStr">
        <is>
          <t>HIGH</t>
        </is>
      </c>
      <c r="I28" s="33" t="inlineStr">
        <is>
          <t>ResourceEfficiencyDatum SubClassOf IAO data item.</t>
        </is>
      </c>
      <c r="J28" s="33" t="inlineStr">
        <is>
          <t>Later: represent numerator/output, resource input, method, boundary, unit and time interval.</t>
        </is>
      </c>
      <c r="K28" s="33" t="n"/>
      <c r="L28" s="33" t="inlineStr">
        <is>
          <t>DRAFT EXISTS; NOT IN CURRENT SOURCE</t>
        </is>
      </c>
      <c r="M28" s="33" t="n"/>
      <c r="N28" s="33" t="n"/>
    </row>
    <row r="29" ht="28" customHeight="1">
      <c r="A29" s="33" t="inlineStr">
        <is>
          <t>MKB-000137</t>
        </is>
      </c>
      <c r="B29" s="33" t="inlineStr">
        <is>
          <t>MatSus</t>
        </is>
      </c>
      <c r="C29" s="33" t="inlineStr">
        <is>
          <t>material resource efficiency datum</t>
        </is>
      </c>
      <c r="D29" s="33" t="inlineStr">
        <is>
          <t>https://w3id.org/pmd/matsus/MaterialResourceEfficiencyDatum</t>
        </is>
      </c>
      <c r="E29" s="33" t="inlineStr">
        <is>
          <t>A resource efficiency datum whose stated resource input is a quantity of material.</t>
        </is>
      </c>
      <c r="F29" s="33" t="inlineStr">
        <is>
          <t>MatSus resource efficiency datum</t>
        </is>
      </c>
      <c r="G29" s="33" t="inlineStr">
        <is>
          <t>ACCEPT — clear material-input specialization.</t>
        </is>
      </c>
      <c r="H29" s="33" t="inlineStr">
        <is>
          <t>HIGH</t>
        </is>
      </c>
      <c r="I29" s="33" t="inlineStr">
        <is>
          <t>MaterialResourceEfficiencyDatum SubClassOf ResourceEfficiencyDatum.</t>
        </is>
      </c>
      <c r="J29" s="33" t="inlineStr">
        <is>
          <t>Later: constrain the stated resource input to a material quantity through the instance pattern.</t>
        </is>
      </c>
      <c r="K29" s="33" t="n"/>
      <c r="L29" s="33" t="inlineStr">
        <is>
          <t>DRAFT EXISTS; NOT IN CURRENT SOURCE</t>
        </is>
      </c>
      <c r="M29" s="33" t="n"/>
      <c r="N29" s="33" t="n"/>
    </row>
    <row r="30" ht="28" customHeight="1">
      <c r="A30" s="33" t="inlineStr">
        <is>
          <t>ADD-SCO-012</t>
        </is>
      </c>
      <c r="B30" s="33" t="inlineStr">
        <is>
          <t>MatSus</t>
        </is>
      </c>
      <c r="C30" s="33" t="inlineStr">
        <is>
          <t>metric specification</t>
        </is>
      </c>
      <c r="D30" s="33" t="inlineStr">
        <is>
          <t>https://w3id.org/pmd/matsus/MetricSpecification</t>
        </is>
      </c>
      <c r="E30" s="33" t="inlineStr">
        <is>
          <t>A directive information entity that prescribes the quantities, calculation method, units, boundary, and interpretation used to produce a quantitative indicator datum.</t>
        </is>
      </c>
      <c r="F30" s="33" t="inlineStr">
        <is>
          <t>IAO directive information entity (IAO_0000033)</t>
        </is>
      </c>
      <c r="G30" s="33" t="inlineStr">
        <is>
          <t>ACCEPT — a metric specification prescribes calculation inputs/methods; the resulting metric value remains a data item.</t>
        </is>
      </c>
      <c r="H30" s="33" t="inlineStr">
        <is>
          <t>HIGH</t>
        </is>
      </c>
      <c r="I30" s="33" t="inlineStr">
        <is>
          <t>MetricSpecification SubClassOf IAO directive information entity.</t>
        </is>
      </c>
      <c r="J30" s="33" t="inlineStr">
        <is>
          <t>Later: add prescribed quantities, calculation method, units, boundary and interpretation relations.</t>
        </is>
      </c>
      <c r="K30" s="33" t="n"/>
      <c r="L30" s="33" t="inlineStr">
        <is>
          <t>DRAFT EXISTS; NOT IN CURRENT SOURCE</t>
        </is>
      </c>
      <c r="M30" s="33" t="n"/>
      <c r="N30" s="33" t="n"/>
    </row>
    <row r="31" ht="42" customHeight="1">
      <c r="A31" s="33" t="inlineStr">
        <is>
          <t>MKB-000028</t>
        </is>
      </c>
      <c r="B31" s="33" t="inlineStr">
        <is>
          <t>MatSus</t>
        </is>
      </c>
      <c r="C31" s="33" t="inlineStr">
        <is>
          <t>circular design specification</t>
        </is>
      </c>
      <c r="D31" s="33" t="inlineStr">
        <is>
          <t>https://w3id.org/pmd/matsus/CircularDesignSpecification</t>
        </is>
      </c>
      <c r="E31" s="33" t="inlineStr">
        <is>
          <t>A directive information entity that prescribes a product, component, or material so that circular-economy objectives constrain its lifecycle design.</t>
        </is>
      </c>
      <c r="F31" s="33" t="inlineStr">
        <is>
          <t>IAO directive information entity (IAO_0000033), provisionally</t>
        </is>
      </c>
      <c r="G31" s="33" t="inlineStr">
        <is>
          <t>ACCEPT PROVISIONALLY — usable local specialization, but the current directive-only parent/definition may be too narrow if PMDco issue #488 adopts a descriptive-or-directive specification-document pattern.</t>
        </is>
      </c>
      <c r="H31" s="33" t="inlineStr">
        <is>
          <t>MEDIUM</t>
        </is>
      </c>
      <c r="I31" s="33" t="inlineStr">
        <is>
          <t>For now: CircularDesignSpecification SubClassOf IAO directive information entity.</t>
        </is>
      </c>
      <c r="J31" s="33" t="inlineStr">
        <is>
          <t>After #488: reparent to PMDco DesignSpecification and revise the definition if PMDco adopts the mixed descriptive/directive scope.</t>
        </is>
      </c>
      <c r="K31" s="33" t="inlineStr">
        <is>
          <t>https://github.com/materialdigital/core-ontology/issues/488</t>
        </is>
      </c>
      <c r="L31" s="33" t="inlineStr">
        <is>
          <t>DRAFT EXISTS; NOT IN CURRENT SOURCE</t>
        </is>
      </c>
      <c r="M31" s="33" t="n"/>
      <c r="N31" s="33" t="n"/>
    </row>
    <row r="32" ht="28" customHeight="1">
      <c r="A32" s="33" t="inlineStr">
        <is>
          <t>MKB-000146</t>
        </is>
      </c>
      <c r="B32" s="33" t="inlineStr">
        <is>
          <t>MatSus</t>
        </is>
      </c>
      <c r="C32" s="33" t="inlineStr">
        <is>
          <t>modularity</t>
        </is>
      </c>
      <c r="D32" s="33" t="inlineStr">
        <is>
          <t>https://w3id.org/pmd/matsus/Modularity</t>
        </is>
      </c>
      <c r="E32" s="33" t="inlineStr">
        <is>
          <t>A quality of an entity that reflects the degree to which its parts are organized into separable, replaceable, or recombinable modules.</t>
        </is>
      </c>
      <c r="F32" s="33" t="inlineStr">
        <is>
          <t>BFO quality (BFO_0000019)</t>
        </is>
      </c>
      <c r="G32" s="33" t="inlineStr">
        <is>
          <t>ACCEPT — degree of modular organization is appropriately represented as a quality.</t>
        </is>
      </c>
      <c r="H32" s="33" t="inlineStr">
        <is>
          <t>HIGH</t>
        </is>
      </c>
      <c r="I32" s="33" t="inlineStr">
        <is>
          <t>Modularity SubClassOf BFO quality.</t>
        </is>
      </c>
      <c r="J32" s="33" t="inlineStr">
        <is>
          <t>Later: add bearer and measurement datum/method only when a modularity metric is selected.</t>
        </is>
      </c>
      <c r="K32" s="33" t="n"/>
      <c r="L32" s="33" t="inlineStr">
        <is>
          <t>DRAFT EXISTS; NOT IN CURRENT SOURCE</t>
        </is>
      </c>
      <c r="M32" s="33" t="n"/>
      <c r="N32" s="33" t="n"/>
    </row>
    <row r="33" ht="28" customHeight="1">
      <c r="A33" s="33" t="inlineStr">
        <is>
          <t>MKB-000247 supporting class</t>
        </is>
      </c>
      <c r="B33" s="33" t="inlineStr">
        <is>
          <t>MatSus; later LOG review</t>
        </is>
      </c>
      <c r="C33" s="33" t="inlineStr">
        <is>
          <t>material flow process</t>
        </is>
      </c>
      <c r="D33" s="33" t="inlineStr">
        <is>
          <t>https://w3id.org/pmd/matsus/MaterialFlowProcess</t>
        </is>
      </c>
      <c r="E33" s="33" t="inlineStr">
        <is>
          <t>A process during which material entities move between locations, agents, lifecycle stages, or transformation processes.</t>
        </is>
      </c>
      <c r="F33" s="33" t="inlineStr">
        <is>
          <t>BFO process (BFO_0000015)</t>
        </is>
      </c>
      <c r="G33" s="33" t="inlineStr">
        <is>
          <t>ACCEPT PROVISIONALLY — generic process parent is safe, but LOG alignment should be revisited before strengthening the hierarchy.</t>
        </is>
      </c>
      <c r="H33" s="33" t="inlineStr">
        <is>
          <t>MEDIUM</t>
        </is>
      </c>
      <c r="I33" s="33" t="inlineStr">
        <is>
          <t>MaterialFlowProcess SubClassOf BFO process.</t>
        </is>
      </c>
      <c r="J33" s="33" t="inlineStr">
        <is>
          <t>Later: represent source/destination location or agent, moving material and relation to transport/transformation processes.</t>
        </is>
      </c>
      <c r="K33" s="33" t="inlineStr">
        <is>
          <t>LOG review later</t>
        </is>
      </c>
      <c r="L33" s="33" t="inlineStr">
        <is>
          <t>DRAFT EXISTS; NOT IN CURRENT SOURCE</t>
        </is>
      </c>
      <c r="M33" s="33" t="n"/>
      <c r="N33" s="33" t="n"/>
    </row>
    <row r="34" ht="28" customHeight="1">
      <c r="A34" s="33" t="inlineStr">
        <is>
          <t>MKB-000247</t>
        </is>
      </c>
      <c r="B34" s="33" t="inlineStr">
        <is>
          <t>MatSus; later LOG review</t>
        </is>
      </c>
      <c r="C34" s="33" t="inlineStr">
        <is>
          <t>textile material flow process</t>
        </is>
      </c>
      <c r="D34" s="33" t="inlineStr">
        <is>
          <t>https://w3id.org/pmd/matsus/TextileMaterialFlowProcess</t>
        </is>
      </c>
      <c r="E34" s="33" t="inlineStr">
        <is>
          <t>A material flow process whose primary moving material entities are textile materials or textile products.</t>
        </is>
      </c>
      <c r="F34" s="33" t="inlineStr">
        <is>
          <t>MatSus material flow process</t>
        </is>
      </c>
      <c r="G34" s="33" t="inlineStr">
        <is>
          <t>ACCEPT PROVISIONALLY — correct material-specific specialization of the provisional flow process.</t>
        </is>
      </c>
      <c r="H34" s="33" t="inlineStr">
        <is>
          <t>MEDIUM</t>
        </is>
      </c>
      <c r="I34" s="33" t="inlineStr">
        <is>
          <t>TextileMaterialFlowProcess SubClassOf MaterialFlowProcess.</t>
        </is>
      </c>
      <c r="J34" s="33" t="inlineStr">
        <is>
          <t>Later: add textile participant constraints only after the generic material-flow/LOG pattern is settled.</t>
        </is>
      </c>
      <c r="K34" s="33" t="inlineStr">
        <is>
          <t>LOG review later</t>
        </is>
      </c>
      <c r="L34" s="33" t="inlineStr">
        <is>
          <t>DRAFT EXISTS; NOT IN CURRENT SOURCE</t>
        </is>
      </c>
      <c r="M34" s="33" t="n"/>
      <c r="N34" s="33" t="n"/>
    </row>
    <row r="35" ht="92" customHeight="1">
      <c r="A35" s="33" t="inlineStr">
        <is>
          <t>MKB-000150</t>
        </is>
      </c>
      <c r="B35" s="33" t="inlineStr">
        <is>
          <t>MatSus</t>
        </is>
      </c>
      <c r="C35" s="33" t="inlineStr">
        <is>
          <t>virgin material</t>
        </is>
      </c>
      <c r="D35" s="33" t="inlineStr">
        <is>
          <t>https://w3id.org/pmd/matsus/VirginMaterial</t>
        </is>
      </c>
      <c r="E35" s="33" t="inlineStr">
        <is>
          <t>A material produced entirely from primary raw materials and containing no recovered or recycled material.</t>
        </is>
      </c>
      <c r="F35" s="33" t="inlineStr">
        <is>
          <t>PMDco material (PMD_0000000)</t>
        </is>
      </c>
      <c r="G35" s="33" t="inlineStr">
        <is>
          <t>ACCEPT — a positive provenance/composition class is preferable to modelling non-virgin material as its logical complement.</t>
        </is>
      </c>
      <c r="H35" s="33" t="inlineStr">
        <is>
          <t>HIGH</t>
        </is>
      </c>
      <c r="I35" s="33" t="inlineStr">
        <is>
          <t>VirginMaterial SubClassOf PMDco material.</t>
        </is>
      </c>
      <c r="J35" s="33" t="inlineStr">
        <is>
          <t>Later: use positive recycled/recovered-content assertions and a composition pattern; no complement axiom.</t>
        </is>
      </c>
      <c r="K35" s="33" t="n"/>
      <c r="L35" s="33" t="inlineStr">
        <is>
          <t>DRAFT EXISTS; NOT IN CURRENT SOURCE</t>
        </is>
      </c>
      <c r="M35" s="33" t="n"/>
      <c r="N35" s="33" t="inlineStr">
        <is>
          <t>‘Non-virgin material’ is an informal umbrella covering recovered material, recycled material, secondary material, and materials containing some proportion of such content. It is not modelled as the OWL complement of virgin material because mixed content is common and absence of virgin status cannot be inferred under the open-world assumption.</t>
        </is>
      </c>
    </row>
    <row r="36" ht="42" customHeight="1">
      <c r="A36" s="33" t="inlineStr">
        <is>
          <t>MKB-000016</t>
        </is>
      </c>
      <c r="B36" s="33" t="inlineStr">
        <is>
          <t>MatSus provisional; PMDco candidate</t>
        </is>
      </c>
      <c r="C36" s="33" t="inlineStr">
        <is>
          <t>feedstock role</t>
        </is>
      </c>
      <c r="D36" s="33" t="inlineStr">
        <is>
          <t>https://w3id.org/pmd/matsus/FeedstockRole</t>
        </is>
      </c>
      <c r="E36" s="33" t="inlineStr">
        <is>
          <t>A material resource role borne by a material entity when that entity is intended to be consumed, transformed, or incorporated as an input in a manufacturing, recycling, or material-processing process.</t>
        </is>
      </c>
      <c r="F36" s="33" t="inlineStr">
        <is>
          <t>LOG material resource role (LOG_1000106)</t>
        </is>
      </c>
      <c r="G36" s="33" t="inlineStr">
        <is>
          <t>ACCEPT PROVISIONALLY — role modelling is correct and the LOG parent is reasonable; PMDco issue #486 may provide the upstream class and require reconciliation.</t>
        </is>
      </c>
      <c r="H36" s="33" t="inlineStr">
        <is>
          <t>HIGH</t>
        </is>
      </c>
      <c r="I36" s="33" t="inlineStr">
        <is>
          <t>For now: FeedstockRole SubClassOf LOG material resource role.</t>
        </is>
      </c>
      <c r="J36" s="33" t="inlineStr">
        <is>
          <t>Later: add bearer/realized-in/process-input relations only after the PMDco/LOG placement decision.</t>
        </is>
      </c>
      <c r="K36" s="33" t="inlineStr">
        <is>
          <t>https://github.com/materialdigital/core-ontology/issues/486</t>
        </is>
      </c>
      <c r="L36" s="33" t="inlineStr">
        <is>
          <t>DRAFT EXISTS; NOT IN CURRENT SOURCE</t>
        </is>
      </c>
      <c r="M36" s="33" t="n"/>
      <c r="N36" s="33" t="n"/>
    </row>
    <row r="37" ht="42" customHeight="1">
      <c r="A37" s="33" t="inlineStr">
        <is>
          <t>MKB-000059</t>
        </is>
      </c>
      <c r="B37" s="33" t="inlineStr">
        <is>
          <t>MatSus</t>
        </is>
      </c>
      <c r="C37" s="33" t="inlineStr">
        <is>
          <t>collection system</t>
        </is>
      </c>
      <c r="D37" s="33" t="inlineStr">
        <is>
          <t>https://w3id.org/pmd/matsus/MATSUS_0000014</t>
        </is>
      </c>
      <c r="E37" s="33" t="inlineStr">
        <is>
          <t>An object aggregate whose members are organized to enable one or more collection processes.</t>
        </is>
      </c>
      <c r="F37" s="33" t="inlineStr">
        <is>
          <t>BFO object aggregate (http://purl.obolibrary.org/obo/BFO_0000027)</t>
        </is>
      </c>
      <c r="G37" s="33" t="inlineStr">
        <is>
          <t>ACCEPT PROVISIONALLY — appropriate if the intended system is a material aggregate; hierarchy should be revisited when member, agent, function or realized-process queries become central.</t>
        </is>
      </c>
      <c r="H37" s="33" t="inlineStr">
        <is>
          <t>MEDIUM</t>
        </is>
      </c>
      <c r="I37" s="33" t="inlineStr">
        <is>
          <t>MATSUS_0000014 SubClassOf BFO_0000027.</t>
        </is>
      </c>
      <c r="J37" s="33" t="inlineStr">
        <is>
          <t>Later: model members/components, enabling function, responsible agent, and collection processes when those queries become central.</t>
        </is>
      </c>
      <c r="K37" s="33" t="n"/>
      <c r="L37" s="33" t="inlineStr">
        <is>
          <t>IMPLEMENTED IN MATSUS-EDIT (MKB1 IR2 BATCH 2)</t>
        </is>
      </c>
      <c r="M37" s="33" t="n"/>
      <c r="N37" s="33" t="inlineStr">
        <is>
          <t>The object-aggregate parent is provisional. Do not introduce a universal generic System class.</t>
        </is>
      </c>
      <c r="O37" s="33" t="inlineStr">
        <is>
          <t>MKB-000059; IR2 Tracker row 2; Class Review row 37.</t>
        </is>
      </c>
      <c r="P37" s="33" t="inlineStr">
        <is>
          <t>new MatSus subclass of BFO object aggregate</t>
        </is>
      </c>
      <c r="Q37" s="33" t="inlineStr">
        <is>
          <t>VALIDATED 2026-09-04 — syntax, import closure, ODK full build, ELK, local OWL 2 DL, IDs, declarations, parents, restrictions, imports, and four repository SPARQL rules pass; full-closure profile is identical to main baseline; DC rule and ROBOT warnings are baseline-explained.</t>
        </is>
      </c>
    </row>
    <row r="38" ht="42" customHeight="1">
      <c r="A38" s="33" t="inlineStr">
        <is>
          <t>MKB-000168</t>
        </is>
      </c>
      <c r="B38" s="33" t="inlineStr">
        <is>
          <t>PMDco</t>
        </is>
      </c>
      <c r="C38" s="33" t="inlineStr">
        <is>
          <t>product specification</t>
        </is>
      </c>
      <c r="D38" s="33" t="inlineStr">
        <is>
          <t>PMDco IRI pending</t>
        </is>
      </c>
      <c r="E38" s="33" t="inlineStr">
        <is>
          <t>A specification document that communicates descriptive or directive information about the composition, structure, configuration, characteristics, performance, requirements, or constraints of a product.</t>
        </is>
      </c>
      <c r="F38" s="33" t="inlineStr">
        <is>
          <t>PMDco specification document (proposed)</t>
        </is>
      </c>
      <c r="G38" s="33" t="inlineStr">
        <is>
          <t>EXTERNAL PROPOSAL ACCEPTED — definition and proposed parent are coherent; await PMDco issue #487. Do not mint a MatSus duplicate.</t>
        </is>
      </c>
      <c r="H38" s="33" t="inlineStr">
        <is>
          <t>HIGH</t>
        </is>
      </c>
      <c r="I38" s="33" t="inlineStr">
        <is>
          <t>No MatSus axiom. Proposed PMDco subclass of specification document.</t>
        </is>
      </c>
      <c r="J38" s="33" t="inlineStr">
        <is>
          <t>PMDco decides final IRI, scope and relation to device/material specification.</t>
        </is>
      </c>
      <c r="K38" s="33" t="inlineStr">
        <is>
          <t>https://github.com/materialdigital/core-ontology/issues/487</t>
        </is>
      </c>
      <c r="L38" s="33" t="inlineStr">
        <is>
          <t>ISSUE_SUBMITTED</t>
        </is>
      </c>
      <c r="M38" s="33" t="n"/>
      <c r="N38" s="33" t="n"/>
    </row>
    <row r="39" ht="42" customHeight="1">
      <c r="A39" s="33" t="inlineStr">
        <is>
          <t>MKB-000028 external generic anchor</t>
        </is>
      </c>
      <c r="B39" s="33" t="inlineStr">
        <is>
          <t>PMDco</t>
        </is>
      </c>
      <c r="C39" s="33" t="inlineStr">
        <is>
          <t>design specification</t>
        </is>
      </c>
      <c r="D39" s="33" t="inlineStr">
        <is>
          <t>PMDco IRI pending</t>
        </is>
      </c>
      <c r="E39" s="33" t="inlineStr">
        <is>
          <t>A specification document that communicates descriptive or directive information about the characteristics, structure, configuration, principles, requirements, or constraints of an intentionally created entity.</t>
        </is>
      </c>
      <c r="F39" s="33" t="inlineStr">
        <is>
          <t>PMDco specification document (proposed)</t>
        </is>
      </c>
      <c r="G39" s="33" t="inlineStr">
        <is>
          <t>EXTERNAL PROPOSAL ACCEPTED — mixed descriptive/directive scope addresses the limitation of a directive-only parent; await PMDco issue #488.</t>
        </is>
      </c>
      <c r="H39" s="33" t="inlineStr">
        <is>
          <t>HIGH</t>
        </is>
      </c>
      <c r="I39" s="33" t="inlineStr">
        <is>
          <t>No additional MatSus axiom now. Proposed PMDco subclass of specification document.</t>
        </is>
      </c>
      <c r="J39" s="33" t="inlineStr">
        <is>
          <t>If accepted, reparent the MatSus circular design specialization to this PMDco class.</t>
        </is>
      </c>
      <c r="K39" s="33" t="inlineStr">
        <is>
          <t>https://github.com/materialdigital/core-ontology/issues/488</t>
        </is>
      </c>
      <c r="L39" s="33" t="inlineStr">
        <is>
          <t>ISSUE_SUBMITTED</t>
        </is>
      </c>
      <c r="M39" s="33" t="n"/>
      <c r="N39" s="33" t="n"/>
    </row>
    <row r="40" ht="28" customHeight="1">
      <c r="A40" s="33" t="inlineStr">
        <is>
          <t>MKB-000217</t>
        </is>
      </c>
      <c r="B40" s="33" t="inlineStr">
        <is>
          <t>LOG</t>
        </is>
      </c>
      <c r="C40" s="33" t="inlineStr">
        <is>
          <t>reverse logistics process</t>
        </is>
      </c>
      <c r="D40" s="33" t="inlineStr">
        <is>
          <t>LOG IRI pending</t>
        </is>
      </c>
      <c r="E40" s="33" t="inlineStr">
        <is>
          <t>No final definition approved yet; formulate it in the future LOG issue using return-flow/take-back examples.</t>
        </is>
      </c>
      <c r="F40" s="33" t="inlineStr">
        <is>
          <t>LOG logistics process (LOG_1000120)</t>
        </is>
      </c>
      <c r="G40" s="33" t="inlineStr">
        <is>
          <t>EXTERNAL PARENT ACCEPTED; DEFINITION DEFERRED — the corrected concept is reverse logistics process, but the final wording belongs in the LOG issue.</t>
        </is>
      </c>
      <c r="H40" s="33" t="inlineStr">
        <is>
          <t>MEDIUM</t>
        </is>
      </c>
      <c r="I40" s="33" t="inlineStr">
        <is>
          <t>No MatSus axiom and no local duplicate. Proposed LOG subclass of logistics process.</t>
        </is>
      </c>
      <c r="J40" s="33" t="inlineStr">
        <is>
          <t>Later: define the reverse/return-flow criterion and scope using take-back, return, recovery and upstream-flow examples.</t>
        </is>
      </c>
      <c r="K40" s="33" t="inlineStr">
        <is>
          <t>LOG issue pending</t>
        </is>
      </c>
      <c r="L40" s="33" t="inlineStr">
        <is>
          <t>LOG_ISSUE_PENDING</t>
        </is>
      </c>
      <c r="M40" s="33" t="n"/>
      <c r="N40" s="33" t="n"/>
    </row>
    <row r="41" ht="92" customHeight="1">
      <c r="A41" s="33" t="inlineStr">
        <is>
          <t>MKB-000175 supporting anchor</t>
        </is>
      </c>
      <c r="B41" s="33" t="inlineStr">
        <is>
          <t>MatSus</t>
        </is>
      </c>
      <c r="C41" s="33" t="inlineStr">
        <is>
          <t>recovered material</t>
        </is>
      </c>
      <c r="D41" s="33" t="inlineStr">
        <is>
          <t>https://w3id.org/pmd/matsus/RecoveredMaterial</t>
        </is>
      </c>
      <c r="E41" s="33" t="inlineStr">
        <is>
          <t>A material obtained through a material-recovery process from material that had been discarded, become waste, or left its preceding use, and that is made available for further use.</t>
        </is>
      </c>
      <c r="F41" s="33" t="inlineStr">
        <is>
          <t>PMDco material (PMD_0000000)</t>
        </is>
      </c>
      <c r="G41" s="33" t="inlineStr">
        <is>
          <t>ACCEPT — material-recovery provenance is represented separately from the contextual waste role; recovered material is not a subclass of waste material.</t>
        </is>
      </c>
      <c r="H41" s="33" t="inlineStr">
        <is>
          <t>HIGH</t>
        </is>
      </c>
      <c r="I41" s="33" t="inlineStr">
        <is>
          <t>RecoveredMaterial SubClassOf PMDco material.</t>
        </is>
      </c>
      <c r="J41" s="33" t="inlineStr">
        <is>
          <t>Later: link the material to its recovery process/history. Do not add disjointness or a complement axiom.</t>
        </is>
      </c>
      <c r="K41" s="33" t="n"/>
      <c r="L41" s="33" t="inlineStr">
        <is>
          <t>DRAFT READY; NOT IN CURRENT SOURCE</t>
        </is>
      </c>
      <c r="M41" s="33" t="inlineStr">
        <is>
          <t>Human accepted this class after the MKB1 human gate; add it to the IR2 implementation package.</t>
        </is>
      </c>
      <c r="N41" s="33" t="inlineStr">
        <is>
          <t>Post-gate accepted material anchor. A material can cease to bear a waste role while retaining its recovery provenance.</t>
        </is>
      </c>
    </row>
    <row r="42" ht="92" customHeight="1">
      <c r="A42" s="33" t="inlineStr">
        <is>
          <t>MKB-000175</t>
        </is>
      </c>
      <c r="B42" s="33" t="inlineStr">
        <is>
          <t>MatSus</t>
        </is>
      </c>
      <c r="C42" s="33" t="inlineStr">
        <is>
          <t>recycled material</t>
        </is>
      </c>
      <c r="D42" s="33" t="inlineStr">
        <is>
          <t>https://w3id.org/pmd/matsus/RecycledMaterial</t>
        </is>
      </c>
      <c r="E42" s="33" t="inlineStr">
        <is>
          <t>A recovered material produced through a recycling process in which waste material is reprocessed into a product, material, or substance for its original or another purpose.</t>
        </is>
      </c>
      <c r="F42" s="33" t="inlineStr">
        <is>
          <t>MatSus recovered material</t>
        </is>
      </c>
      <c r="G42" s="33" t="inlineStr">
        <is>
          <t>ACCEPT — process-history specialization of recovered material; it may overlap with secondary material.</t>
        </is>
      </c>
      <c r="H42" s="33" t="inlineStr">
        <is>
          <t>HIGH</t>
        </is>
      </c>
      <c r="I42" s="33" t="inlineStr">
        <is>
          <t>RecycledMaterial SubClassOf RecoveredMaterial.</t>
        </is>
      </c>
      <c r="J42" s="33" t="inlineStr">
        <is>
          <t>Later: link to the recycling process/history. Do not assert disjointness from SecondaryMaterial.</t>
        </is>
      </c>
      <c r="K42" s="33" t="inlineStr">
        <is>
          <t>RecoveredMaterial</t>
        </is>
      </c>
      <c r="L42" s="33" t="inlineStr">
        <is>
          <t>DRAFT READY; NOT IN CURRENT SOURCE</t>
        </is>
      </c>
      <c r="M42" s="33" t="inlineStr">
        <is>
          <t>Human accepted this class after the MKB1 human gate; add it to the IR2 implementation package.</t>
        </is>
      </c>
      <c r="N42" s="33" t="inlineStr">
        <is>
          <t>Post-gate accepted. RecycledMaterial and SecondaryMaterial are not exclusive categories.</t>
        </is>
      </c>
    </row>
    <row r="43" ht="92" customHeight="1">
      <c r="A43" s="33" t="inlineStr">
        <is>
          <t>MKB-000223</t>
        </is>
      </c>
      <c r="B43" s="33" t="inlineStr">
        <is>
          <t>MatSus</t>
        </is>
      </c>
      <c r="C43" s="33" t="inlineStr">
        <is>
          <t>secondary material</t>
        </is>
      </c>
      <c r="D43" s="33" t="inlineStr">
        <is>
          <t>https://w3id.org/pmd/matsus/SecondaryMaterial</t>
        </is>
      </c>
      <c r="E43" s="33" t="inlineStr">
        <is>
          <t>A recovered material suitable for use in manufacturing or material processing instead of or alongside virgin material.</t>
        </is>
      </c>
      <c r="F43" s="33" t="inlineStr">
        <is>
          <t>MatSus recovered material</t>
        </is>
      </c>
      <c r="G43" s="33" t="inlineStr">
        <is>
          <t>ACCEPT — use/status specialization; sibling of recycled material and allowed to overlap it.</t>
        </is>
      </c>
      <c r="H43" s="33" t="inlineStr">
        <is>
          <t>HIGH</t>
        </is>
      </c>
      <c r="I43" s="33" t="inlineStr">
        <is>
          <t>SecondaryMaterial SubClassOf RecoveredMaterial.</t>
        </is>
      </c>
      <c r="J43" s="33" t="inlineStr">
        <is>
          <t>Later: represent suitability or intended use only when a stable relation pattern is selected. Do not assert disjointness from RecycledMaterial.</t>
        </is>
      </c>
      <c r="K43" s="33" t="inlineStr">
        <is>
          <t>RecoveredMaterial</t>
        </is>
      </c>
      <c r="L43" s="33" t="inlineStr">
        <is>
          <t>DRAFT READY; NOT IN CURRENT SOURCE</t>
        </is>
      </c>
      <c r="M43" s="33" t="inlineStr">
        <is>
          <t>Human accepted this class after the MKB1 human gate; add it to the IR2 implementation package.</t>
        </is>
      </c>
      <c r="N43" s="33" t="inlineStr">
        <is>
          <t>Post-gate accepted as a positive material category rather than a complement of VirginMaterial.</t>
        </is>
      </c>
    </row>
    <row r="44" ht="92" customHeight="1">
      <c r="A44" s="33" t="inlineStr">
        <is>
          <t>MKB-000180 supporting anchor</t>
        </is>
      </c>
      <c r="B44" s="33" t="inlineStr">
        <is>
          <t>MatSus</t>
        </is>
      </c>
      <c r="C44" s="33" t="inlineStr">
        <is>
          <t>material sustainability assessment</t>
        </is>
      </c>
      <c r="D44" s="33" t="inlineStr">
        <is>
          <t>https://w3id.org/pmd/matsus/MaterialSustainabilityAssessment</t>
        </is>
      </c>
      <c r="E44" s="33" t="inlineStr">
        <is>
          <t>An assay intended to produce information for evaluating one or more sustainability-related aspects of a material, product, process, or material lifecycle system.</t>
        </is>
      </c>
      <c r="F44" s="33" t="inlineStr">
        <is>
          <t>OBI assay (OBI_0000070)</t>
        </is>
      </c>
      <c r="G44" s="33" t="inlineStr">
        <is>
          <t>ACCEPT PROVISIONALLY — a thin MatSus assessment umbrella is justified, but it must be reconciled with the dedicated assessment batch.</t>
        </is>
      </c>
      <c r="H44" s="33" t="inlineStr">
        <is>
          <t>MEDIUM</t>
        </is>
      </c>
      <c r="I44" s="33" t="inlineStr">
        <is>
          <t>MaterialSustainabilityAssessment SubClassOf OBI assay.</t>
        </is>
      </c>
      <c r="J44" s="33" t="inlineStr">
        <is>
          <t>Later: reconcile with SRC-007, SRC-009 and CLEO during Batch 2; add no further logical restrictions now.</t>
        </is>
      </c>
      <c r="K44" s="33" t="inlineStr">
        <is>
          <t>SRC-007 / SRC-009 / CLEO — Batch 2 reconciliation</t>
        </is>
      </c>
      <c r="L44" s="33" t="inlineStr">
        <is>
          <t>PROVISIONAL DRAFT READY; NOT IN CURRENT SOURCE</t>
        </is>
      </c>
      <c r="M44" s="33" t="inlineStr">
        <is>
          <t>Human accepted this class after the MKB1 human gate; add it to the IR2 implementation package.</t>
        </is>
      </c>
      <c r="N44" s="33" t="inlineStr">
        <is>
          <t>Post-gate accepted provisionally as the parent needed for resource-input reduction assessment.</t>
        </is>
      </c>
    </row>
    <row r="45" ht="92" customHeight="1">
      <c r="A45" s="33" t="inlineStr">
        <is>
          <t>MKB-000180 supporting class</t>
        </is>
      </c>
      <c r="B45" s="33" t="inlineStr">
        <is>
          <t>MatSus</t>
        </is>
      </c>
      <c r="C45" s="33" t="inlineStr">
        <is>
          <t>resource-input reduction assessment</t>
        </is>
      </c>
      <c r="D45" s="33" t="inlineStr">
        <is>
          <t>https://w3id.org/pmd/matsus/ResourceInputReductionAssessment</t>
        </is>
      </c>
      <c r="E45" s="33" t="inlineStr">
        <is>
          <t>A material sustainability assessment intended to determine or quantify whether, and to what extent, material input has been reduced relative to a stated baseline under specified comparison conditions.</t>
        </is>
      </c>
      <c r="F45" s="33" t="inlineStr">
        <is>
          <t>MatSus material sustainability assessment</t>
        </is>
      </c>
      <c r="G45" s="33" t="inlineStr">
        <is>
          <t>ACCEPT — this is the evidential assessment counterpart of the reduction process and objective specification.</t>
        </is>
      </c>
      <c r="H45" s="33" t="inlineStr">
        <is>
          <t>HIGH</t>
        </is>
      </c>
      <c r="I45" s="33" t="inlineStr">
        <is>
          <t>ResourceInputReductionAssessment SubClassOf MaterialSustainabilityAssessment.</t>
        </is>
      </c>
      <c r="J45" s="33" t="inlineStr">
        <is>
          <t>Later: model the evaluated process or system, baseline, comparison conditions and output datum.</t>
        </is>
      </c>
      <c r="K45" s="33" t="inlineStr">
        <is>
          <t>MaterialSustainabilityAssessment</t>
        </is>
      </c>
      <c r="L45" s="33" t="inlineStr">
        <is>
          <t>DRAFT READY; NOT IN CURRENT SOURCE</t>
        </is>
      </c>
      <c r="M45" s="33" t="inlineStr">
        <is>
          <t>Human accepted this class after the MKB1 human gate; add it to the IR2 implementation package.</t>
        </is>
      </c>
      <c r="N45" s="33" t="inlineStr">
        <is>
          <t>Post-gate accepted. Keep assessment distinct from the process and its objective specification.</t>
        </is>
      </c>
    </row>
    <row r="46" ht="92" customHeight="1">
      <c r="A46" s="33" t="inlineStr">
        <is>
          <t>MKB-000180 supporting class</t>
        </is>
      </c>
      <c r="B46" s="33" t="inlineStr">
        <is>
          <t>MatSus</t>
        </is>
      </c>
      <c r="C46" s="33" t="inlineStr">
        <is>
          <t>resource-input reduction objective specification</t>
        </is>
      </c>
      <c r="D46" s="33" t="inlineStr">
        <is>
          <t>https://w3id.org/pmd/matsus/ResourceInputReductionObjectiveSpecification</t>
        </is>
      </c>
      <c r="E46" s="33" t="inlineStr">
        <is>
          <t>An objective specification that specifies an intended reduction, relative to a stated baseline and under specified comparison conditions, in the quantity of material input required or used by a specified process or system.</t>
        </is>
      </c>
      <c r="F46" s="33" t="inlineStr">
        <is>
          <t>IAO objective specification (IAO_0000005)</t>
        </is>
      </c>
      <c r="G46" s="33" t="inlineStr">
        <is>
          <t>ACCEPT — this represents the intended reduction target; no separate resource-input reduction strategy specification is required.</t>
        </is>
      </c>
      <c r="H46" s="33" t="inlineStr">
        <is>
          <t>HIGH</t>
        </is>
      </c>
      <c r="I46" s="33" t="inlineStr">
        <is>
          <t>ResourceInputReductionObjectiveSpecification SubClassOf IAO objective specification.</t>
        </is>
      </c>
      <c r="J46" s="33" t="inlineStr">
        <is>
          <t>Later: relate it to the targeted process or system, baseline, reduction amount and unit.</t>
        </is>
      </c>
      <c r="K46" s="33" t="n"/>
      <c r="L46" s="33" t="inlineStr">
        <is>
          <t>DRAFT READY; NOT IN CURRENT SOURCE</t>
        </is>
      </c>
      <c r="M46" s="33" t="inlineStr">
        <is>
          <t>Human accepted this class after the MKB1 human gate; add it to the IR2 implementation package.</t>
        </is>
      </c>
      <c r="N46" s="33" t="inlineStr">
        <is>
          <t>Example: reduce virgin aluminium input by 20% relative to the 2025 baseline.</t>
        </is>
      </c>
    </row>
  </sheetData>
  <conditionalFormatting sqref="G2:G40">
    <cfRule type="containsText" priority="1" operator="containsText" dxfId="2" text="REVISE"/>
    <cfRule type="containsText" priority="2" operator="containsText" dxfId="1" text="PROVISIONALLY"/>
    <cfRule type="containsText" priority="3" operator="containsText" dxfId="0" text="ACCEPT"/>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4"/>
  <cols>
    <col width="14" customWidth="1" min="1" max="1"/>
    <col width="34" customWidth="1" min="2" max="2"/>
    <col width="16" customWidth="1" min="3" max="3"/>
    <col width="28" customWidth="1" min="4" max="4"/>
    <col width="72" customWidth="1" min="5" max="5"/>
  </cols>
  <sheetData>
    <row r="1">
      <c r="A1" s="1" t="inlineStr">
        <is>
          <t>Issue</t>
        </is>
      </c>
      <c r="B1" s="1" t="inlineStr">
        <is>
          <t>Concept</t>
        </is>
      </c>
      <c r="C1" s="1" t="inlineStr">
        <is>
          <t>Target</t>
        </is>
      </c>
      <c r="D1" s="1" t="inlineStr">
        <is>
          <t>Status</t>
        </is>
      </c>
      <c r="E1" s="1" t="inlineStr">
        <is>
          <t>URL / note</t>
        </is>
      </c>
    </row>
    <row r="2">
      <c r="A2" s="24" t="inlineStr">
        <is>
          <t>#485</t>
        </is>
      </c>
      <c r="B2" s="24" t="inlineStr">
        <is>
          <t>waste role + waste material</t>
        </is>
      </c>
      <c r="C2" s="24" t="inlineStr">
        <is>
          <t>PMDco</t>
        </is>
      </c>
      <c r="D2" s="24" t="inlineStr">
        <is>
          <t>ISSUE_SUBMITTED</t>
        </is>
      </c>
      <c r="E2" s="24" t="inlineStr">
        <is>
          <t>https://github.com/materialdigital/core-ontology/issues/485</t>
        </is>
      </c>
    </row>
    <row r="3">
      <c r="A3" s="24" t="inlineStr">
        <is>
          <t>#486</t>
        </is>
      </c>
      <c r="B3" s="24" t="inlineStr">
        <is>
          <t>feedstock role</t>
        </is>
      </c>
      <c r="C3" s="24" t="inlineStr">
        <is>
          <t>PMDco</t>
        </is>
      </c>
      <c r="D3" s="24" t="inlineStr">
        <is>
          <t>ISSUE_SUBMITTED</t>
        </is>
      </c>
      <c r="E3" s="24" t="inlineStr">
        <is>
          <t>https://github.com/materialdigital/core-ontology/issues/486</t>
        </is>
      </c>
    </row>
    <row r="4">
      <c r="A4" s="24" t="inlineStr">
        <is>
          <t>#487</t>
        </is>
      </c>
      <c r="B4" s="24" t="inlineStr">
        <is>
          <t>product specification</t>
        </is>
      </c>
      <c r="C4" s="24" t="inlineStr">
        <is>
          <t>PMDco</t>
        </is>
      </c>
      <c r="D4" s="24" t="inlineStr">
        <is>
          <t>ISSUE_SUBMITTED</t>
        </is>
      </c>
      <c r="E4" s="24" t="inlineStr">
        <is>
          <t>https://github.com/materialdigital/core-ontology/issues/487</t>
        </is>
      </c>
    </row>
    <row r="5">
      <c r="A5" s="24" t="inlineStr">
        <is>
          <t>#488</t>
        </is>
      </c>
      <c r="B5" s="24" t="inlineStr">
        <is>
          <t>design specification</t>
        </is>
      </c>
      <c r="C5" s="24" t="inlineStr">
        <is>
          <t>PMDco</t>
        </is>
      </c>
      <c r="D5" s="24" t="inlineStr">
        <is>
          <t>ISSUE_SUBMITTED</t>
        </is>
      </c>
      <c r="E5" s="24" t="inlineStr">
        <is>
          <t>https://github.com/materialdigital/core-ontology/issues/488</t>
        </is>
      </c>
    </row>
    <row r="6">
      <c r="A6" s="24" t="inlineStr">
        <is>
          <t>Pending</t>
        </is>
      </c>
      <c r="B6" s="24" t="inlineStr">
        <is>
          <t>reverse logistics process</t>
        </is>
      </c>
      <c r="C6" s="24" t="inlineStr">
        <is>
          <t>LOG</t>
        </is>
      </c>
      <c r="D6" s="24" t="inlineStr">
        <is>
          <t>LOG_ISSUE_PENDING</t>
        </is>
      </c>
      <c r="E6" s="24" t="inlineStr">
        <is>
          <t>Contribution route and issue URL still to be determined</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2026-09-01T12:55:49Z</dcterms:created>
  <dcterms:modified xsi:type="dcterms:W3CDTF">2026-09-04T10:03:52Z</dcterms:modified>
</cp:coreProperties>
</file>