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rt Here" sheetId="1" state="visible" r:id="rId1"/>
    <sheet name="IR2 Tracker" sheetId="2" state="visible" r:id="rId2"/>
    <sheet name="Class Review" sheetId="3" state="visible" r:id="rId3"/>
    <sheet name="Handoffs" sheetId="4" state="visible" r:id="rId4"/>
  </sheets>
  <definedNames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color rgb="FF17365D"/>
      <sz val="11"/>
    </font>
    <font>
      <name val="Carlito"/>
      <b val="1"/>
      <color rgb="FF7F6000"/>
      <sz val="11"/>
    </font>
    <font>
      <name val="Carlito"/>
      <b val="1"/>
      <color rgb="FF375623"/>
      <sz val="11"/>
    </font>
    <font>
      <name val="Carlito"/>
      <sz val="8"/>
    </font>
    <font>
      <name val="Aptos"/>
      <color rgb="FF172033"/>
      <sz val="9"/>
    </font>
    <font>
      <name val="Aptos Display"/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7365D"/>
      </patternFill>
    </fill>
  </fills>
  <borders count="11">
    <border/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B7C9DD"/>
      </left>
      <right style="thin">
        <color rgb="FFB7C9DD"/>
      </right>
      <top style="thin">
        <color rgb="FFB7C9DD"/>
      </top>
      <bottom style="thin">
        <color rgb="FFB7C9DD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3" applyAlignment="1" pivotButton="0" quotePrefix="0" xfId="0">
      <alignment vertical="center"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0" borderId="7" applyAlignment="1" pivotButton="0" quotePrefix="0" xfId="0">
      <alignment vertical="top" wrapText="1"/>
    </xf>
    <xf numFmtId="0" fontId="6" fillId="0" borderId="8" applyAlignment="1" pivotButton="0" quotePrefix="0" xfId="0">
      <alignment vertical="top" wrapText="1"/>
    </xf>
    <xf numFmtId="0" fontId="6" fillId="0" borderId="9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10" applyAlignment="1" pivotButton="0" quotePrefix="0" xfId="0">
      <alignment vertical="top" wrapText="1"/>
    </xf>
    <xf numFmtId="0" fontId="7" fillId="2" borderId="1" applyAlignment="1" pivotButton="0" quotePrefix="0" xfId="0">
      <alignment vertical="center" wrapText="1"/>
    </xf>
    <xf numFmtId="0" fontId="7" fillId="2" borderId="2" applyAlignment="1" pivotButton="0" quotePrefix="0" xfId="0">
      <alignment vertical="center" wrapText="1"/>
    </xf>
    <xf numFmtId="0" fontId="7" fillId="2" borderId="3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7" fillId="6" borderId="2" applyAlignment="1" pivotButton="0" quotePrefix="0" xfId="0">
      <alignment vertical="center" wrapText="1"/>
    </xf>
    <xf numFmtId="0" fontId="7" fillId="6" borderId="3" applyAlignment="1" pivotButton="0" quotePrefix="0" xfId="0">
      <alignment vertical="center" wrapText="1"/>
    </xf>
    <xf numFmtId="0" fontId="7" fillId="0" borderId="0" pivotButton="0" quotePrefix="0" xfId="0"/>
    <xf numFmtId="0" fontId="7" fillId="6" borderId="0" pivotButton="0" quotePrefix="0" xfId="0"/>
  </cellXfs>
  <cellStyles count="1">
    <cellStyle name="Normal" xfId="0"/>
  </cellStyles>
  <dxfs count="6">
    <dxf>
      <font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IR2StateSummary" displayName="IR2StateSummary" ref="A4:B10" headerRowCount="1" totalsRowShown="0">
  <tableColumns count="2">
    <tableColumn id="1" name="Current state"/>
    <tableColumn id="2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R2GroupGuide" displayName="IR2GroupGuide" ref="D4:F10" headerRowCount="1" totalsRowShown="0">
  <tableColumns count="3">
    <tableColumn id="1" name="IR2 group"/>
    <tableColumn id="2" name="Meaning"/>
    <tableColumn id="3" name="What you do no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KB1IR2Tracker" displayName="MKB1IR2Tracker" ref="A1:R42" headerRowCount="1" totalsRowCount="0" totalsRowShown="0">
  <tableColumns count="18">
    <tableColumn id="1" name="IR2 group"/>
    <tableColumn id="2" name="MKB ID"/>
    <tableColumn id="3" name="Package"/>
    <tableColumn id="4" name="Canonical concept"/>
    <tableColumn id="5" name="Final decision"/>
    <tableColumn id="6" name="Target"/>
    <tableColumn id="7" name="Current draft IRI(s)"/>
    <tableColumn id="8" name="Parent / modelling pattern"/>
    <tableColumn id="9" name="MKB1 draft status"/>
    <tableColumn id="10" name="Recommended final MatSus IRI(s)"/>
    <tableColumn id="11" name="Codex definition + parent assessment"/>
    <tableColumn id="12" name="Confirmed axioms now"/>
    <tableColumn id="13" name="In current MatSus source"/>
    <tableColumn id="14" name="Validation"/>
    <tableColumn id="15" name="External issue / dependency"/>
    <tableColumn id="16" name="Overall IR2 status"/>
    <tableColumn id="17" name="Next action"/>
    <tableColumn id="18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KB1ClassReview" displayName="MKB1ClassReview" ref="A1:N46" headerRowCount="1" totalsRowCount="0" totalsRowShown="0">
  <tableColumns count="14">
    <tableColumn id="1" name="MKB ID(s)"/>
    <tableColumn id="2" name="Ontology target"/>
    <tableColumn id="3" name="Class label"/>
    <tableColumn id="4" name="Recommended final IRI"/>
    <tableColumn id="5" name="Draft/proposed definition"/>
    <tableColumn id="6" name="Asserted/proposed parent"/>
    <tableColumn id="7" name="Codex assessment"/>
    <tableColumn id="8" name="Confidence"/>
    <tableColumn id="9" name="Confirmed axiom(s) now"/>
    <tableColumn id="10" name="Later axiomatization note"/>
    <tableColumn id="11" name="Issue / dependency"/>
    <tableColumn id="12" name="Implementation status"/>
    <tableColumn id="13" name="Human decision / comment"/>
    <tableColumn id="14" name="Editorial 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R2Handoffs" displayName="IR2Handoffs" ref="A1:E6" headerRowCount="1" totalsRowShown="0">
  <tableColumns count="5">
    <tableColumn id="1" name="Issue"/>
    <tableColumn id="2" name="Concept"/>
    <tableColumn id="3" name="Target"/>
    <tableColumn id="4" name="Status"/>
    <tableColumn id="5" name="URL /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42" customWidth="1" min="1" max="1"/>
    <col width="20" customWidth="1" min="2" max="2"/>
    <col width="4" customWidth="1" min="3" max="3"/>
    <col width="28" customWidth="1" min="4" max="4"/>
    <col width="62" customWidth="1" min="5" max="6"/>
  </cols>
  <sheetData>
    <row r="1">
      <c r="A1" s="14" t="inlineStr">
        <is>
          <t>MKB1 → MatSus IR2 implementation tracker</t>
        </is>
      </c>
    </row>
    <row r="2">
      <c r="A2" s="15" t="inlineStr">
        <is>
          <t>Definitions and parents have been assessed from the ontology draft; user review is requested only where the Class Review says REVISE or PROVISIONAL.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4" t="inlineStr">
        <is>
          <t>Current state</t>
        </is>
      </c>
      <c r="B4" s="4" t="inlineStr">
        <is>
          <t>Value</t>
        </is>
      </c>
      <c r="C4" s="3" t="n"/>
      <c r="D4" s="4" t="inlineStr">
        <is>
          <t>IR2 group</t>
        </is>
      </c>
      <c r="E4" s="4" t="inlineStr">
        <is>
          <t>Meaning</t>
        </is>
      </c>
      <c r="F4" s="4" t="inlineStr">
        <is>
          <t>What you do now</t>
        </is>
      </c>
    </row>
    <row r="5" ht="48" customHeight="1">
      <c r="A5" s="3" t="inlineStr">
        <is>
          <t>MKB1 human-gate decisions</t>
        </is>
      </c>
      <c r="B5" s="3">
        <f>COUNTA('IR2 Tracker'!B2:B36)</f>
        <v/>
      </c>
      <c r="C5" s="3" t="n"/>
      <c r="D5" s="3" t="inlineStr">
        <is>
          <t>1 - LOCAL IMPLEMENTATION</t>
        </is>
      </c>
      <c r="E5" s="3" t="inlineStr">
        <is>
          <t>A MatSus class/pattern is drafted and can proceed toward integration.</t>
        </is>
      </c>
      <c r="F5" s="3" t="inlineStr">
        <is>
          <t>Use the recommended IRI. Review only REVISE/PROVISIONAL rows.</t>
        </is>
      </c>
    </row>
    <row r="6" ht="48" customHeight="1">
      <c r="A6" s="3" t="inlineStr">
        <is>
          <t>Local implementation rows/classes</t>
        </is>
      </c>
      <c r="B6" s="3">
        <f>COUNTIF('IR2 Tracker'!A2:A43,"1 - LOCAL IMPLEMENTATION")</f>
        <v/>
      </c>
      <c r="C6" s="3" t="n"/>
      <c r="D6" s="3" t="inlineStr">
        <is>
          <t>2 - EXTERNAL HANDOFF</t>
        </is>
      </c>
      <c r="E6" s="3" t="inlineStr">
        <is>
          <t>The concept belongs upstream in PMDco or LOG.</t>
        </is>
      </c>
      <c r="F6" s="3" t="inlineStr">
        <is>
          <t>Wait for the external decision; do not create a duplicate MatSus class.</t>
        </is>
      </c>
    </row>
    <row r="7" ht="48" customHeight="1">
      <c r="A7" s="3" t="inlineStr">
        <is>
          <t>Rows integrated into the provided current MatSus source</t>
        </is>
      </c>
      <c r="B7" s="3">
        <f>COUNTIF('IR2 Tracker'!M2:M43,"YES")</f>
        <v/>
      </c>
      <c r="C7" s="3" t="n"/>
      <c r="D7" s="3" t="inlineStr">
        <is>
          <t>3 - DEFERRED</t>
        </is>
      </c>
      <c r="E7" s="3" t="inlineStr">
        <is>
          <t>No class is justified without a concrete modelling example.</t>
        </is>
      </c>
      <c r="F7" s="3" t="inlineStr">
        <is>
          <t>No ontology action now.</t>
        </is>
      </c>
    </row>
    <row r="8" ht="48" customHeight="1">
      <c r="A8" s="3" t="inlineStr">
        <is>
          <t>PMDco issues submitted</t>
        </is>
      </c>
      <c r="B8" s="3">
        <f>COUNTIF(Handoffs!D2:D6,"ISSUE_SUBMITTED")</f>
        <v/>
      </c>
      <c r="C8" s="3" t="n"/>
      <c r="D8" s="3" t="inlineStr">
        <is>
          <t>Definitions/parents</t>
        </is>
      </c>
      <c r="E8" s="3" t="inlineStr">
        <is>
          <t>Full draft definition, asserted parent and Codex assessment are in Class Review.</t>
        </is>
      </c>
      <c r="F8" s="3" t="inlineStr">
        <is>
          <t>You do not need to review ACCEPT rows.</t>
        </is>
      </c>
    </row>
    <row r="9" ht="48" customHeight="1">
      <c r="A9" s="3" t="inlineStr">
        <is>
          <t>LOG issue pending</t>
        </is>
      </c>
      <c r="B9" s="3">
        <f>COUNTIF(Handoffs!D2:D6,"LOG_ISSUE_PENDING")</f>
        <v/>
      </c>
      <c r="C9" s="3" t="n"/>
      <c r="D9" s="3" t="inlineStr">
        <is>
          <t>Axioms now</t>
        </is>
      </c>
      <c r="E9" s="3" t="inlineStr">
        <is>
          <t>Only high-confidence parent/subclass and two discussed restrictions are recorded.</t>
        </is>
      </c>
      <c r="F9" s="3" t="inlineStr">
        <is>
          <t>Do not axiomatize further now.</t>
        </is>
      </c>
    </row>
    <row r="10" ht="48" customHeight="1">
      <c r="A10" s="3" t="inlineStr">
        <is>
          <t>Intentionally deferred modelling rows</t>
        </is>
      </c>
      <c r="B10" s="3">
        <f>COUNTIF('IR2 Tracker'!A2:A43,"3 - DEFERRED")</f>
        <v/>
      </c>
      <c r="C10" s="3" t="n"/>
      <c r="D10" s="3" t="inlineStr">
        <is>
          <t>Later axioms</t>
        </is>
      </c>
      <c r="E10" s="3" t="inlineStr">
        <is>
          <t>Uncertain relations are logged as later notes.</t>
        </is>
      </c>
      <c r="F10" s="3" t="inlineStr">
        <is>
          <t>Return to them during the later axiomatization phase.</t>
        </is>
      </c>
    </row>
    <row r="11">
      <c r="A11" s="3" t="n"/>
      <c r="B11" s="3" t="n"/>
      <c r="C11" s="3" t="n"/>
      <c r="D11" s="3" t="n"/>
      <c r="E11" s="3" t="n"/>
      <c r="F11" s="3" t="n"/>
    </row>
    <row r="12" ht="54" customHeight="1">
      <c r="A12" s="16" t="inlineStr">
        <is>
          <t>IRI recommendation: keep the readable https://w3id.org/pmd/matsus/&lt;ClassName&gt; IRIs already used in both supplied MatSus files. Confidence is high for consistency with these files, but repository-wide ID policy should still be checked once—not row by row—before merge.</t>
        </is>
      </c>
    </row>
    <row r="13">
      <c r="A13" s="3" t="n"/>
      <c r="B13" s="3" t="n"/>
      <c r="C13" s="3" t="n"/>
      <c r="D13" s="3" t="n"/>
      <c r="E13" s="3" t="n"/>
      <c r="F13" s="3" t="n"/>
    </row>
    <row r="14" ht="34" customHeight="1">
      <c r="A14" s="17" t="inlineStr">
        <is>
          <t>The MKB1 final workbook remains the decision/provenance archive. Use this tracker and Class Review sheet for IR2; six post-gate accepted classes are explicitly included.</t>
        </is>
      </c>
    </row>
  </sheetData>
  <mergeCells count="4">
    <mergeCell ref="A2:F2"/>
    <mergeCell ref="A14:F14"/>
    <mergeCell ref="A1:F1"/>
    <mergeCell ref="A12:F12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workbookViewId="0">
      <selection activeCell="A1" sqref="A1"/>
    </sheetView>
  </sheetViews>
  <sheetFormatPr baseColWidth="8" defaultRowHeight="14"/>
  <cols>
    <col width="28" customWidth="1" min="1" max="1"/>
    <col width="15" customWidth="1" min="2" max="2"/>
    <col width="23" customWidth="1" min="3" max="3"/>
    <col width="31" customWidth="1" min="4" max="4"/>
    <col width="27" customWidth="1" min="5" max="5"/>
    <col width="21" customWidth="1" min="6" max="6"/>
    <col width="40" customWidth="1" min="7" max="7"/>
    <col width="36" customWidth="1" min="8" max="8"/>
    <col width="27" customWidth="1" min="9" max="9"/>
    <col width="43" customWidth="1" min="10" max="10"/>
    <col width="72" customWidth="1" min="11" max="11"/>
    <col width="58" customWidth="1" min="12" max="12"/>
    <col width="23" customWidth="1" min="13" max="14"/>
    <col width="58" customWidth="1" min="15" max="15"/>
    <col width="31" customWidth="1" min="16" max="16"/>
    <col width="58" customWidth="1" min="17" max="17"/>
    <col width="48" customWidth="1" min="18" max="18"/>
  </cols>
  <sheetData>
    <row r="1">
      <c r="A1" s="37" t="inlineStr">
        <is>
          <t>IR2 group</t>
        </is>
      </c>
      <c r="B1" s="38" t="inlineStr">
        <is>
          <t>MKB ID</t>
        </is>
      </c>
      <c r="C1" s="38" t="inlineStr">
        <is>
          <t>Package</t>
        </is>
      </c>
      <c r="D1" s="38" t="inlineStr">
        <is>
          <t>Canonical concept</t>
        </is>
      </c>
      <c r="E1" s="38" t="inlineStr">
        <is>
          <t>Final decision</t>
        </is>
      </c>
      <c r="F1" s="38" t="inlineStr">
        <is>
          <t>Target</t>
        </is>
      </c>
      <c r="G1" s="38" t="inlineStr">
        <is>
          <t>Current draft IRI(s)</t>
        </is>
      </c>
      <c r="H1" s="38" t="inlineStr">
        <is>
          <t>Parent / modelling pattern</t>
        </is>
      </c>
      <c r="I1" s="38" t="inlineStr">
        <is>
          <t>MKB1 draft status</t>
        </is>
      </c>
      <c r="J1" s="38" t="inlineStr">
        <is>
          <t>Recommended final MatSus IRI(s)</t>
        </is>
      </c>
      <c r="K1" s="38" t="inlineStr">
        <is>
          <t>Codex definition + parent assessment</t>
        </is>
      </c>
      <c r="L1" s="38" t="inlineStr">
        <is>
          <t>Confirmed axioms now</t>
        </is>
      </c>
      <c r="M1" s="38" t="inlineStr">
        <is>
          <t>In current MatSus source</t>
        </is>
      </c>
      <c r="N1" s="38" t="inlineStr">
        <is>
          <t>Validation</t>
        </is>
      </c>
      <c r="O1" s="38" t="inlineStr">
        <is>
          <t>External issue / dependency</t>
        </is>
      </c>
      <c r="P1" s="38" t="inlineStr">
        <is>
          <t>Overall IR2 status</t>
        </is>
      </c>
      <c r="Q1" s="38" t="inlineStr">
        <is>
          <t>Next action</t>
        </is>
      </c>
      <c r="R1" s="39" t="inlineStr">
        <is>
          <t>Notes</t>
        </is>
      </c>
    </row>
    <row r="2" ht="42" customHeight="1">
      <c r="A2" s="33" t="inlineStr">
        <is>
          <t>1 - LOCAL IMPLEMENTATION</t>
        </is>
      </c>
      <c r="B2" s="33" t="inlineStr">
        <is>
          <t>MKB-000059</t>
        </is>
      </c>
      <c r="C2" s="33" t="inlineStr">
        <is>
          <t>Cross-cutting</t>
        </is>
      </c>
      <c r="D2" s="33" t="inlineStr">
        <is>
          <t>collection system</t>
        </is>
      </c>
      <c r="E2" s="33" t="inlineStr">
        <is>
          <t>IMPLEMENT_LOCAL_MATSUS_TERM</t>
        </is>
      </c>
      <c r="F2" s="33" t="inlineStr">
        <is>
          <t>MatSus</t>
        </is>
      </c>
      <c r="G2" s="33" t="inlineStr">
        <is>
          <t>https://w3id.org/pmd/matsus/CollectionSystem</t>
        </is>
      </c>
      <c r="H2" s="33" t="inlineStr">
        <is>
          <t>BFO object aggregate (BFO_0000027)</t>
        </is>
      </c>
      <c r="I2" s="33" t="inlineStr">
        <is>
          <t>IMPLEMENTED_IN_MATSUS_EDIT (BATCH 2)</t>
        </is>
      </c>
      <c r="J2" s="33" t="inlineStr">
        <is>
          <t>https://w3id.org/pmd/matsus/MATSUS_0000014</t>
        </is>
      </c>
      <c r="K2" s="33" t="inlineStr">
        <is>
          <t>CollectionSystem: ACCEPT PROVISIONALLY — implemented as an object aggregate; revisit member, agent, function, and realized-process modelling when those queries become central.</t>
        </is>
      </c>
      <c r="L2" s="33" t="inlineStr">
        <is>
          <t>MATSUS_0000014 SubClassOf BFO_0000027.</t>
        </is>
      </c>
      <c r="M2" s="33" t="inlineStr">
        <is>
          <t>YES - MKB1 IR2 BATCH 2</t>
        </is>
      </c>
      <c r="N2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  <c r="O2" s="33" t="n"/>
      <c r="P2" s="33" t="inlineStr">
        <is>
          <t>IMPLEMENTED_VALIDATED_WITH_BASELINE_EXPLAINED_WARNINGS</t>
        </is>
      </c>
      <c r="Q2" s="33" t="inlineStr">
        <is>
          <t>Ready for human pre-commit review; retain deferred modelling notes.</t>
        </is>
      </c>
      <c r="R2" s="33" t="inlineStr">
        <is>
          <t>Full class-level definition, parent, confidence and later-axiom notes are in Class Review.</t>
        </is>
      </c>
    </row>
    <row r="3" ht="28" customHeight="1">
      <c r="A3" s="33" t="inlineStr">
        <is>
          <t>1 - LOCAL IMPLEMENTATION</t>
        </is>
      </c>
      <c r="B3" s="33" t="inlineStr">
        <is>
          <t>ADD-SCO-012</t>
        </is>
      </c>
      <c r="C3" s="33" t="inlineStr">
        <is>
          <t>Information/specification</t>
        </is>
      </c>
      <c r="D3" s="33" t="inlineStr">
        <is>
          <t>metric specification</t>
        </is>
      </c>
      <c r="E3" s="33" t="inlineStr">
        <is>
          <t>IMPLEMENT_LOCAL_MATSUS_TERM</t>
        </is>
      </c>
      <c r="F3" s="33" t="inlineStr">
        <is>
          <t>MatSus</t>
        </is>
      </c>
      <c r="G3" s="33" t="inlineStr">
        <is>
          <t>https://w3id.org/pmd/matsus/MetricSpecification</t>
        </is>
      </c>
      <c r="H3" s="33" t="inlineStr">
        <is>
          <t>IAO directive information entity (IAO_0000033)</t>
        </is>
      </c>
      <c r="I3" s="33" t="inlineStr">
        <is>
          <t>IMPLEMENTED_IN_MATSUS_EDIT (BATCH 3)</t>
        </is>
      </c>
      <c r="J3" s="33" t="inlineStr">
        <is>
          <t>https://w3id.org/pmd/matsus/MATSUS_0000027</t>
        </is>
      </c>
      <c r="K3" s="33" t="inlineStr">
        <is>
          <t>MetricSpecification: ACCEPT ? implemented as an IAO directive information entity; resulting metric values remain data items.</t>
        </is>
      </c>
      <c r="L3" s="33" t="inlineStr">
        <is>
          <t>MATSUS_0000027 SubClassOf IAO_0000033.</t>
        </is>
      </c>
      <c r="M3" s="33" t="inlineStr">
        <is>
          <t>YES - MKB1 IR2 BATCH 3</t>
        </is>
      </c>
      <c r="N3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3" s="33" t="n"/>
      <c r="P3" s="33" t="inlineStr">
        <is>
          <t>IMPLEMENTED_VALIDATED_WITH_BASELINE_EXPLAINED_WARNINGS</t>
        </is>
      </c>
      <c r="Q3" s="33" t="inlineStr">
        <is>
          <t>Ready for human pre-commit review; retain deferred modelling notes.</t>
        </is>
      </c>
      <c r="R3" s="33" t="inlineStr">
        <is>
          <t>Full class-level definition, exact parent, provenance, integration method, editorial decision, and later-axiom notes are in Class Review.</t>
        </is>
      </c>
    </row>
    <row r="4" ht="42" customHeight="1">
      <c r="A4" s="33" t="inlineStr">
        <is>
          <t>2 - EXTERNAL HANDOFF</t>
        </is>
      </c>
      <c r="B4" s="33" t="inlineStr">
        <is>
          <t>MKB-000028</t>
        </is>
      </c>
      <c r="C4" s="33" t="inlineStr">
        <is>
          <t>Information/specification</t>
        </is>
      </c>
      <c r="D4" s="33" t="inlineStr">
        <is>
          <t>circular design specification</t>
        </is>
      </c>
      <c r="E4" s="33" t="inlineStr">
        <is>
          <t>EXTERNAL_ISSUE_DEPENDENT</t>
        </is>
      </c>
      <c r="F4" s="33" t="inlineStr">
        <is>
          <t>MatSus</t>
        </is>
      </c>
      <c r="G4" s="33" t="inlineStr">
        <is>
          <t>https://w3id.org/pmd/matsus/CircularDesignSpecification</t>
        </is>
      </c>
      <c r="H4" s="33" t="inlineStr">
        <is>
          <t>IAO directive information entity (IAO_0000033)</t>
        </is>
      </c>
      <c r="I4" s="33" t="inlineStr">
        <is>
          <t>NOT_IMPLEMENTED_BATCH_3</t>
        </is>
      </c>
      <c r="J4" s="33" t="inlineStr">
        <is>
          <t>N/A ? no Batch 3 IRI allocated</t>
        </is>
      </c>
      <c r="K4" s="33" t="inlineStr">
        <is>
          <t>CircularDesignSpecification: EXTERNAL_ISSUE_DEPENDENT ? await PMDco #488; reconsider locally only if the generic PMDco DesignSpecification proposal is rejected.</t>
        </is>
      </c>
      <c r="L4" s="33" t="inlineStr">
        <is>
          <t>No MatSus axiom in Batch 3.</t>
        </is>
      </c>
      <c r="M4" s="33" t="inlineStr">
        <is>
          <t>N/A</t>
        </is>
      </c>
      <c r="N4" s="33" t="inlineStr">
        <is>
          <t>N/A</t>
        </is>
      </c>
      <c r="O4" s="33" t="inlineStr">
        <is>
          <t>https://github.com/materialdigital/core-ontology/issues/488</t>
        </is>
      </c>
      <c r="P4" s="33" t="inlineStr">
        <is>
          <t>ISSUE_SUBMITTED</t>
        </is>
      </c>
      <c r="Q4" s="33" t="inlineStr">
        <is>
          <t>Await PMDco #488; do not mint a MatSus duplicate now.</t>
        </is>
      </c>
      <c r="R4" s="33" t="inlineStr">
        <is>
          <t>Batch 3 exclusion confirmed; planning history retained.</t>
        </is>
      </c>
    </row>
    <row r="5" ht="42" customHeight="1">
      <c r="A5" s="33" t="inlineStr">
        <is>
          <t>1 - LOCAL IMPLEMENTATION</t>
        </is>
      </c>
      <c r="B5" s="33" t="inlineStr">
        <is>
          <t>MKB-000231</t>
        </is>
      </c>
      <c r="C5" s="33" t="inlineStr">
        <is>
          <t>Information/specification</t>
        </is>
      </c>
      <c r="D5" s="33" t="inlineStr">
        <is>
          <t>sorting process + sorting method specification</t>
        </is>
      </c>
      <c r="E5" s="33" t="inlineStr">
        <is>
          <t>IMPLEMENT_LOCAL_MATSUS_PATTERN</t>
        </is>
      </c>
      <c r="F5" s="33" t="inlineStr">
        <is>
          <t>MatSus</t>
        </is>
      </c>
      <c r="G5" s="33" t="inlineStr">
        <is>
          <t>https://w3id.org/pmd/matsus/SortingProcess | https://w3id.org/pmd/matsus/SortingMethodSpecification</t>
        </is>
      </c>
      <c r="H5" s="33" t="inlineStr">
        <is>
          <t>COB planned process + IAO plan specification</t>
        </is>
      </c>
      <c r="I5" s="33" t="inlineStr">
        <is>
          <t>IMPLEMENTED_IN_MATSUS_EDIT (BATCH 2)</t>
        </is>
      </c>
      <c r="J5" s="33" t="inlineStr">
        <is>
          <t>https://w3id.org/pmd/matsus/MATSUS_0000016 | https://w3id.org/pmd/matsus/MATSUS_0000017</t>
        </is>
      </c>
      <c r="K5" s="33" t="inlineStr">
        <is>
          <t>SortingProcess: ACCEPT — implemented as a planned process. | SortingMethodSpecification: ACCEPT — implemented as an IAO plan specification and explicitly not as a SortingProcess subclass.</t>
        </is>
      </c>
      <c r="L5" s="33" t="inlineStr">
        <is>
          <t>MATSUS_0000016 SubClassOf COB_0000082. | MATSUS_0000017 SubClassOf IAO_0000104. No subclass axiom from MATSUS_0000017 to MATSUS_0000016.</t>
        </is>
      </c>
      <c r="M5" s="33" t="inlineStr">
        <is>
          <t>YES - MKB1 IR2 BATCH 2</t>
        </is>
      </c>
      <c r="N5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  <c r="O5" s="33" t="n"/>
      <c r="P5" s="33" t="inlineStr">
        <is>
          <t>IMPLEMENTED_VALIDATED_WITH_BASELINE_EXPLAINED_WARNINGS</t>
        </is>
      </c>
      <c r="Q5" s="33" t="inlineStr">
        <is>
          <t>Ready for human pre-commit review; retain deferred modelling notes.</t>
        </is>
      </c>
      <c r="R5" s="33" t="inlineStr">
        <is>
          <t>Full class-level definition, parent, confidence and later-axiom notes are in Class Review.</t>
        </is>
      </c>
    </row>
    <row r="6" ht="42" customHeight="1">
      <c r="A6" s="33" t="inlineStr">
        <is>
          <t>2 - EXTERNAL HANDOFF</t>
        </is>
      </c>
      <c r="B6" s="33" t="inlineStr">
        <is>
          <t>MKB-000016</t>
        </is>
      </c>
      <c r="C6" s="33" t="inlineStr">
        <is>
          <t>Material/role</t>
        </is>
      </c>
      <c r="D6" s="33" t="inlineStr">
        <is>
          <t>feedstock role</t>
        </is>
      </c>
      <c r="E6" s="33" t="inlineStr">
        <is>
          <t>EXTERNAL_ISSUE_DEPENDENT</t>
        </is>
      </c>
      <c r="F6" s="33" t="inlineStr">
        <is>
          <t>MatSus + LOG anchor</t>
        </is>
      </c>
      <c r="G6" s="33" t="inlineStr">
        <is>
          <t>https://w3id.org/pmd/matsus/FeedstockRole</t>
        </is>
      </c>
      <c r="H6" s="33" t="inlineStr">
        <is>
          <t>LOG material resource role (LOG_1000106)</t>
        </is>
      </c>
      <c r="I6" s="33" t="inlineStr">
        <is>
          <t>NOT_IMPLEMENTED_BATCH_3</t>
        </is>
      </c>
      <c r="J6" s="33" t="inlineStr">
        <is>
          <t>N/A ? no Batch 3 IRI allocated</t>
        </is>
      </c>
      <c r="K6" s="33" t="inlineStr">
        <is>
          <t>FeedstockRole: EXTERNAL_ISSUE_DEPENDENT ? await PMDco #486; reuse upstream if accepted, otherwise reconsider a local MatSus class.</t>
        </is>
      </c>
      <c r="L6" s="33" t="inlineStr">
        <is>
          <t>No MatSus axiom in Batch 3.</t>
        </is>
      </c>
      <c r="M6" s="33" t="inlineStr">
        <is>
          <t>N/A</t>
        </is>
      </c>
      <c r="N6" s="33" t="inlineStr">
        <is>
          <t>N/A</t>
        </is>
      </c>
      <c r="O6" s="33" t="inlineStr">
        <is>
          <t>https://github.com/materialdigital/core-ontology/issues/486</t>
        </is>
      </c>
      <c r="P6" s="33" t="inlineStr">
        <is>
          <t>ISSUE_SUBMITTED</t>
        </is>
      </c>
      <c r="Q6" s="33" t="inlineStr">
        <is>
          <t>Await PMDco #486; do not mint a MatSus duplicate now.</t>
        </is>
      </c>
      <c r="R6" s="33" t="inlineStr">
        <is>
          <t>Batch 3 exclusion confirmed; PMDco/LOG placement remains external.</t>
        </is>
      </c>
    </row>
    <row r="7" ht="28" customHeight="1">
      <c r="A7" s="33" t="inlineStr">
        <is>
          <t>1 - LOCAL IMPLEMENTATION</t>
        </is>
      </c>
      <c r="B7" s="33" t="inlineStr">
        <is>
          <t>MKB-000137</t>
        </is>
      </c>
      <c r="C7" s="33" t="inlineStr">
        <is>
          <t>Material/role</t>
        </is>
      </c>
      <c r="D7" s="33" t="inlineStr">
        <is>
          <t>material resource efficiency datum</t>
        </is>
      </c>
      <c r="E7" s="33" t="inlineStr">
        <is>
          <t>ALIGN_TO_LOCAL_CANONICAL</t>
        </is>
      </c>
      <c r="F7" s="33" t="inlineStr">
        <is>
          <t>MatSus</t>
        </is>
      </c>
      <c r="G7" s="33" t="inlineStr">
        <is>
          <t>https://w3id.org/pmd/matsus/MaterialResourceEfficiencyDatum</t>
        </is>
      </c>
      <c r="H7" s="33" t="inlineStr">
        <is>
          <t>MatSus resource efficiency datum (MATSUS_0000028)</t>
        </is>
      </c>
      <c r="I7" s="33" t="inlineStr">
        <is>
          <t>IMPLEMENTED_IN_MATSUS_EDIT (BATCH 3)</t>
        </is>
      </c>
      <c r="J7" s="33" t="inlineStr">
        <is>
          <t>https://w3id.org/pmd/matsus/MATSUS_0000029</t>
        </is>
      </c>
      <c r="K7" s="33" t="inlineStr">
        <is>
          <t>MaterialResourceEfficiencyDatum: ACCEPT ? implemented as the material-input specialization of MATSUS_0000028.</t>
        </is>
      </c>
      <c r="L7" s="33" t="inlineStr">
        <is>
          <t>MATSUS_0000029 SubClassOf MATSUS_0000028.</t>
        </is>
      </c>
      <c r="M7" s="33" t="inlineStr">
        <is>
          <t>YES - MKB1 IR2 BATCH 3</t>
        </is>
      </c>
      <c r="N7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7" s="33" t="n"/>
      <c r="P7" s="33" t="inlineStr">
        <is>
          <t>IMPLEMENTED_VALIDATED_WITH_BASELINE_EXPLAINED_WARNINGS</t>
        </is>
      </c>
      <c r="Q7" s="33" t="inlineStr">
        <is>
          <t>Ready for human pre-commit review; retain deferred modelling notes.</t>
        </is>
      </c>
      <c r="R7" s="33" t="inlineStr">
        <is>
          <t>Full class-level definition, exact parent, provenance, integration method, editorial decision, and later-axiom notes are in Class Review.</t>
        </is>
      </c>
    </row>
    <row r="8" ht="42" customHeight="1">
      <c r="A8" s="33" t="inlineStr">
        <is>
          <t>1 - LOCAL IMPLEMENTATION</t>
        </is>
      </c>
      <c r="B8" s="33" t="inlineStr">
        <is>
          <t>MKB-000150</t>
        </is>
      </c>
      <c r="C8" s="33" t="inlineStr">
        <is>
          <t>Material/role</t>
        </is>
      </c>
      <c r="D8" s="33" t="inlineStr">
        <is>
          <t>virgin material</t>
        </is>
      </c>
      <c r="E8" s="33" t="inlineStr">
        <is>
          <t>IMPLEMENT_LOCAL_MATSUS_TERM</t>
        </is>
      </c>
      <c r="F8" s="33" t="inlineStr">
        <is>
          <t>MatSus</t>
        </is>
      </c>
      <c r="G8" s="33" t="inlineStr">
        <is>
          <t>https://w3id.org/pmd/matsus/VirginMaterial</t>
        </is>
      </c>
      <c r="H8" s="33" t="inlineStr">
        <is>
          <t>PMDco material (PMD_0000000)</t>
        </is>
      </c>
      <c r="I8" s="33" t="inlineStr">
        <is>
          <t>IMPLEMENTED_IN_MATSUS_EDIT (BATCH 3)</t>
        </is>
      </c>
      <c r="J8" s="33" t="inlineStr">
        <is>
          <t>https://w3id.org/pmd/matsus/MATSUS_0000030</t>
        </is>
      </c>
      <c r="K8" s="33" t="inlineStr">
        <is>
          <t>VirginMaterial: ACCEPT ? implemented with the approved ISO-grounded positive definition; use existing MATSUS_0000003 SecondaryMaterial and no complement class.</t>
        </is>
      </c>
      <c r="L8" s="33" t="inlineStr">
        <is>
          <t>MATSUS_0000030 SubClassOf PMD_0000000.</t>
        </is>
      </c>
      <c r="M8" s="33" t="inlineStr">
        <is>
          <t>YES - MKB1 IR2 BATCH 3</t>
        </is>
      </c>
      <c r="N8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8" s="33" t="n"/>
      <c r="P8" s="33" t="inlineStr">
        <is>
          <t>IMPLEMENTED_VALIDATED_WITH_BASELINE_EXPLAINED_WARNINGS</t>
        </is>
      </c>
      <c r="Q8" s="33" t="inlineStr">
        <is>
          <t>Use existing positive MATSUS_0000003 SecondaryMaterial; recovered-content, composition, and proportion axioms remain deferred.</t>
        </is>
      </c>
      <c r="R8" s="33" t="inlineStr">
        <is>
          <t>Full class-level definition, exact parent, provenance, integration method, editorial decision, and later-axiom notes are in Class Review.</t>
        </is>
      </c>
    </row>
    <row r="9" ht="28" customHeight="1">
      <c r="A9" s="33" t="inlineStr">
        <is>
          <t>1 - LOCAL IMPLEMENTATION</t>
        </is>
      </c>
      <c r="B9" s="33" t="inlineStr">
        <is>
          <t>MKB-000009</t>
        </is>
      </c>
      <c r="C9" s="33" t="inlineStr">
        <is>
          <t>Process</t>
        </is>
      </c>
      <c r="D9" s="33" t="inlineStr">
        <is>
          <t>battery repurposing process</t>
        </is>
      </c>
      <c r="E9" s="33" t="inlineStr">
        <is>
          <t>IMPLEMENT_LOCAL_MATSUS_TERM</t>
        </is>
      </c>
      <c r="F9" s="33" t="inlineStr">
        <is>
          <t>MatSus</t>
        </is>
      </c>
      <c r="G9" s="33" t="inlineStr">
        <is>
          <t>https://w3id.org/pmd/matsus/BatteryRepurposingProcess</t>
        </is>
      </c>
      <c r="H9" s="33" t="inlineStr">
        <is>
          <t>MatSus repurposing process (MATSUS_0000031)</t>
        </is>
      </c>
      <c r="I9" s="33" t="inlineStr">
        <is>
          <t>IMPLEMENTED_IN_MATSUS_EDIT (BATCH 3)</t>
        </is>
      </c>
      <c r="J9" s="33" t="inlineStr">
        <is>
          <t>https://w3id.org/pmd/matsus/MATSUS_0000032</t>
        </is>
      </c>
      <c r="K9" s="33" t="inlineStr">
        <is>
          <t>BatteryRepurposingProcess: ACCEPT ? implemented as the battery-specific specialization of MATSUS_0000031.</t>
        </is>
      </c>
      <c r="L9" s="33" t="inlineStr">
        <is>
          <t>MATSUS_0000032 SubClassOf MATSUS_0000031.</t>
        </is>
      </c>
      <c r="M9" s="33" t="inlineStr">
        <is>
          <t>YES - MKB1 IR2 BATCH 3</t>
        </is>
      </c>
      <c r="N9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9" s="33" t="n"/>
      <c r="P9" s="33" t="inlineStr">
        <is>
          <t>IMPLEMENTED_VALIDATED_WITH_BASELINE_EXPLAINED_WARNINGS</t>
        </is>
      </c>
      <c r="Q9" s="33" t="inlineStr">
        <is>
          <t>Ready for human pre-commit review; retain deferred modelling notes.</t>
        </is>
      </c>
      <c r="R9" s="33" t="inlineStr">
        <is>
          <t>Full class-level definition, exact parent, provenance, integration method, editorial decision, and later-axiom notes are in Class Review.</t>
        </is>
      </c>
    </row>
    <row r="10" ht="42" customHeight="1">
      <c r="A10" s="33" t="inlineStr">
        <is>
          <t>1 - LOCAL IMPLEMENTATION</t>
        </is>
      </c>
      <c r="B10" s="33" t="inlineStr">
        <is>
          <t>MKB-000180</t>
        </is>
      </c>
      <c r="C10" s="33" t="inlineStr">
        <is>
          <t>Process</t>
        </is>
      </c>
      <c r="D10" s="33" t="inlineStr">
        <is>
          <t>resource-input reduction process</t>
        </is>
      </c>
      <c r="E10" s="33" t="inlineStr">
        <is>
          <t>REFORMULATE_TO_PROCESS_AND_IMPLEMENT</t>
        </is>
      </c>
      <c r="F10" s="33" t="inlineStr">
        <is>
          <t>MatSus</t>
        </is>
      </c>
      <c r="G10" s="33" t="inlineStr">
        <is>
          <t>https://w3id.org/pmd/matsus/ResourceInputReductionProcess</t>
        </is>
      </c>
      <c r="H10" s="33" t="inlineStr">
        <is>
          <t>COB planned process (COB_0000082)</t>
        </is>
      </c>
      <c r="I10" s="33" t="inlineStr">
        <is>
          <t>IMPLEMENTED_IN_MATSUS_EDIT (BATCH 3)</t>
        </is>
      </c>
      <c r="J10" s="33" t="inlineStr">
        <is>
          <t>https://w3id.org/pmd/matsus/MATSUS_0000033</t>
        </is>
      </c>
      <c r="K10" s="33" t="inlineStr">
        <is>
          <t>ResourceInputReductionProcess: ACCEPT ? implemented as a planned process distinct from its assessment and objective specification.</t>
        </is>
      </c>
      <c r="L10" s="33" t="inlineStr">
        <is>
          <t>MATSUS_0000033 SubClassOf COB_0000082.</t>
        </is>
      </c>
      <c r="M10" s="33" t="inlineStr">
        <is>
          <t>YES - MKB1 IR2 BATCH 3</t>
        </is>
      </c>
      <c r="N10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10" s="33" t="n"/>
      <c r="P10" s="33" t="inlineStr">
        <is>
          <t>IMPLEMENTED_VALIDATED_WITH_BASELINE_EXPLAINED_WARNINGS</t>
        </is>
      </c>
      <c r="Q10" s="33" t="inlineStr">
        <is>
          <t>Ready for human pre-commit review; retain deferred modelling notes.</t>
        </is>
      </c>
      <c r="R10" s="33" t="inlineStr">
        <is>
          <t>Full class-level definition, exact parent, provenance, integration method, editorial decision, and later-axiom notes are in Class Review.</t>
        </is>
      </c>
    </row>
    <row r="11" ht="28" customHeight="1">
      <c r="A11" s="33" t="inlineStr">
        <is>
          <t>1 - LOCAL IMPLEMENTATION</t>
        </is>
      </c>
      <c r="B11" s="33" t="inlineStr">
        <is>
          <t>MKB-000181</t>
        </is>
      </c>
      <c r="C11" s="33" t="inlineStr">
        <is>
          <t>Process</t>
        </is>
      </c>
      <c r="D11" s="33" t="inlineStr">
        <is>
          <t>refill process</t>
        </is>
      </c>
      <c r="E11" s="33" t="inlineStr">
        <is>
          <t>ALIGN_TO_LOCAL_CANONICAL</t>
        </is>
      </c>
      <c r="F11" s="33" t="inlineStr">
        <is>
          <t>MatSus</t>
        </is>
      </c>
      <c r="G11" s="33" t="inlineStr">
        <is>
          <t>https://w3id.org/pmd/matsus/RefillProcess</t>
        </is>
      </c>
      <c r="H11" s="33" t="inlineStr">
        <is>
          <t>COB planned process (COB_0000082)</t>
        </is>
      </c>
      <c r="I11" s="33" t="inlineStr">
        <is>
          <t>IMPLEMENTED_IN_MATSUS_EDIT (BATCH 3)</t>
        </is>
      </c>
      <c r="J11" s="33" t="inlineStr">
        <is>
          <t>https://w3id.org/pmd/matsus/MATSUS_0000034</t>
        </is>
      </c>
      <c r="K11" s="33" t="inlineStr">
        <is>
          <t>RefillProcess: ACCEPT ? one generic class consolidates MKB-000181 and MKB-000182.</t>
        </is>
      </c>
      <c r="L11" s="33" t="inlineStr">
        <is>
          <t>MATSUS_0000034 SubClassOf COB_0000082.</t>
        </is>
      </c>
      <c r="M11" s="33" t="inlineStr">
        <is>
          <t>YES - MKB1 IR2 BATCH 3</t>
        </is>
      </c>
      <c r="N11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11" s="33" t="n"/>
      <c r="P11" s="33" t="inlineStr">
        <is>
          <t>IMPLEMENTED_VALIDATED_WITH_BASELINE_EXPLAINED_WARNINGS</t>
        </is>
      </c>
      <c r="Q11" s="33" t="inlineStr">
        <is>
          <t>Ready for human pre-commit review; retain deferred modelling notes.</t>
        </is>
      </c>
      <c r="R11" s="33" t="inlineStr">
        <is>
          <t>Full class-level definition, exact parent, provenance, integration method, editorial decision, and later-axiom notes are in Class Review.</t>
        </is>
      </c>
    </row>
    <row r="12" ht="28" customHeight="1">
      <c r="A12" s="33" t="inlineStr">
        <is>
          <t>1 - LOCAL IMPLEMENTATION</t>
        </is>
      </c>
      <c r="B12" s="33" t="inlineStr">
        <is>
          <t>MKB-000182</t>
        </is>
      </c>
      <c r="C12" s="33" t="inlineStr">
        <is>
          <t>Process</t>
        </is>
      </c>
      <c r="D12" s="33" t="inlineStr">
        <is>
          <t>refill process</t>
        </is>
      </c>
      <c r="E12" s="33" t="inlineStr">
        <is>
          <t>ALIGN_TO_LOCAL_CANONICAL</t>
        </is>
      </c>
      <c r="F12" s="33" t="inlineStr">
        <is>
          <t>MatSus</t>
        </is>
      </c>
      <c r="G12" s="33" t="inlineStr">
        <is>
          <t>https://w3id.org/pmd/matsus/RefillProcess</t>
        </is>
      </c>
      <c r="H12" s="33" t="inlineStr">
        <is>
          <t>COB planned process (COB_0000082)</t>
        </is>
      </c>
      <c r="I12" s="33" t="inlineStr">
        <is>
          <t>IMPLEMENTED_IN_MATSUS_EDIT (BATCH 3)</t>
        </is>
      </c>
      <c r="J12" s="33" t="inlineStr">
        <is>
          <t>https://w3id.org/pmd/matsus/MATSUS_0000034</t>
        </is>
      </c>
      <c r="K12" s="33" t="inlineStr">
        <is>
          <t>RefillProcess: ACCEPT ? one generic class consolidates MKB-000181 and MKB-000182.</t>
        </is>
      </c>
      <c r="L12" s="33" t="inlineStr">
        <is>
          <t>MATSUS_0000034 SubClassOf COB_0000082.</t>
        </is>
      </c>
      <c r="M12" s="33" t="inlineStr">
        <is>
          <t>YES - MKB1 IR2 BATCH 3</t>
        </is>
      </c>
      <c r="N12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12" s="33" t="n"/>
      <c r="P12" s="33" t="inlineStr">
        <is>
          <t>IMPLEMENTED_VALIDATED_WITH_BASELINE_EXPLAINED_WARNINGS</t>
        </is>
      </c>
      <c r="Q12" s="33" t="inlineStr">
        <is>
          <t>Ready for human pre-commit review; retain deferred modelling notes.</t>
        </is>
      </c>
      <c r="R12" s="33" t="inlineStr">
        <is>
          <t>Full class-level definition, exact parent, provenance, integration method, editorial decision, and later-axiom notes are in Class Review.</t>
        </is>
      </c>
    </row>
    <row r="13" ht="28" customHeight="1">
      <c r="A13" s="33" t="inlineStr">
        <is>
          <t>1 - LOCAL IMPLEMENTATION</t>
        </is>
      </c>
      <c r="B13" s="33" t="inlineStr">
        <is>
          <t>MKB-000184</t>
        </is>
      </c>
      <c r="C13" s="33" t="inlineStr">
        <is>
          <t>Process</t>
        </is>
      </c>
      <c r="D13" s="33" t="inlineStr">
        <is>
          <t>refusal process</t>
        </is>
      </c>
      <c r="E13" s="33" t="inlineStr">
        <is>
          <t>REFORMULATE_TO_PROCESS_AND_IMPLEMENT</t>
        </is>
      </c>
      <c r="F13" s="33" t="inlineStr">
        <is>
          <t>MatSus</t>
        </is>
      </c>
      <c r="G13" s="33" t="inlineStr">
        <is>
          <t>https://w3id.org/pmd/matsus/RefusalProcess</t>
        </is>
      </c>
      <c r="H13" s="33" t="inlineStr">
        <is>
          <t>COB planned process (COB_0000082)</t>
        </is>
      </c>
      <c r="I13" s="33" t="inlineStr">
        <is>
          <t>IMPLEMENTED_IN_MATSUS_EDIT (BATCH 3)</t>
        </is>
      </c>
      <c r="J13" s="33" t="inlineStr">
        <is>
          <t>https://w3id.org/pmd/matsus/MATSUS_0000035</t>
        </is>
      </c>
      <c r="K13" s="33" t="inlineStr">
        <is>
          <t>RefusalProcess: ACCEPT ? implemented as the actual intentional refusal occurrence, distinct from strategy and objective specifications.</t>
        </is>
      </c>
      <c r="L13" s="33" t="inlineStr">
        <is>
          <t>MATSUS_0000035 SubClassOf COB_0000082.</t>
        </is>
      </c>
      <c r="M13" s="33" t="inlineStr">
        <is>
          <t>YES - MKB1 IR2 BATCH 3</t>
        </is>
      </c>
      <c r="N13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13" s="33" t="n"/>
      <c r="P13" s="33" t="inlineStr">
        <is>
          <t>IMPLEMENTED_VALIDATED_WITH_BASELINE_EXPLAINED_WARNINGS</t>
        </is>
      </c>
      <c r="Q13" s="33" t="inlineStr">
        <is>
          <t>Keep RefusalProcess distinct from RefusalStrategySpecification; add no logical relation between them in Batch 3.</t>
        </is>
      </c>
      <c r="R13" s="33" t="inlineStr">
        <is>
          <t>Full class-level definition, exact parent, provenance, integration method, editorial decision, and later-axiom notes are in Class Review.</t>
        </is>
      </c>
    </row>
    <row r="14" ht="28" customHeight="1">
      <c r="A14" s="33" t="inlineStr">
        <is>
          <t>1 - LOCAL IMPLEMENTATION</t>
        </is>
      </c>
      <c r="B14" s="33" t="inlineStr">
        <is>
          <t>MKB-000189</t>
        </is>
      </c>
      <c r="C14" s="33" t="inlineStr">
        <is>
          <t>Process</t>
        </is>
      </c>
      <c r="D14" s="33" t="inlineStr">
        <is>
          <t>remanufacturing process</t>
        </is>
      </c>
      <c r="E14" s="33" t="inlineStr">
        <is>
          <t>REFORMULATE_TO_PROCESS_AND_IMPLEMENT</t>
        </is>
      </c>
      <c r="F14" s="33" t="inlineStr">
        <is>
          <t>MatSus</t>
        </is>
      </c>
      <c r="G14" s="33" t="inlineStr">
        <is>
          <t>https://w3id.org/pmd/matsus/RemanufacturingProcess</t>
        </is>
      </c>
      <c r="H14" s="33" t="inlineStr">
        <is>
          <t>COB planned process (COB_0000082)</t>
        </is>
      </c>
      <c r="I14" s="33" t="inlineStr">
        <is>
          <t>IMPLEMENTED_IN_MATSUS_EDIT (BATCH 3)</t>
        </is>
      </c>
      <c r="J14" s="33" t="inlineStr">
        <is>
          <t>https://w3id.org/pmd/matsus/MATSUS_0000036</t>
        </is>
      </c>
      <c r="K14" s="33" t="inlineStr">
        <is>
          <t>RemanufacturingProcess: ACCEPT ? implemented as a planned restorative process.</t>
        </is>
      </c>
      <c r="L14" s="33" t="inlineStr">
        <is>
          <t>MATSUS_0000036 SubClassOf COB_0000082.</t>
        </is>
      </c>
      <c r="M14" s="33" t="inlineStr">
        <is>
          <t>YES - MKB1 IR2 BATCH 3</t>
        </is>
      </c>
      <c r="N14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14" s="33" t="n"/>
      <c r="P14" s="33" t="inlineStr">
        <is>
          <t>IMPLEMENTED_VALIDATED_WITH_BASELINE_EXPLAINED_WARNINGS</t>
        </is>
      </c>
      <c r="Q14" s="33" t="inlineStr">
        <is>
          <t>Ready for human pre-commit review; retain deferred modelling notes.</t>
        </is>
      </c>
      <c r="R14" s="33" t="inlineStr">
        <is>
          <t>Full class-level definition, exact parent, provenance, integration method, editorial decision, and later-axiom notes are in Class Review.</t>
        </is>
      </c>
    </row>
    <row r="15" ht="28" customHeight="1">
      <c r="A15" s="33" t="inlineStr">
        <is>
          <t>1 - LOCAL IMPLEMENTATION</t>
        </is>
      </c>
      <c r="B15" s="33" t="inlineStr">
        <is>
          <t>MKB-000202</t>
        </is>
      </c>
      <c r="C15" s="33" t="inlineStr">
        <is>
          <t>Process</t>
        </is>
      </c>
      <c r="D15" s="33" t="inlineStr">
        <is>
          <t>repurposing process</t>
        </is>
      </c>
      <c r="E15" s="33" t="inlineStr">
        <is>
          <t>ALIGN_TO_LOCAL_CANONICAL</t>
        </is>
      </c>
      <c r="F15" s="33" t="inlineStr">
        <is>
          <t>MatSus</t>
        </is>
      </c>
      <c r="G15" s="33" t="inlineStr">
        <is>
          <t>https://w3id.org/pmd/matsus/RepurposingProcess</t>
        </is>
      </c>
      <c r="H15" s="33" t="inlineStr">
        <is>
          <t>COB planned process (COB_0000082)</t>
        </is>
      </c>
      <c r="I15" s="33" t="inlineStr">
        <is>
          <t>IMPLEMENTED_IN_MATSUS_EDIT (BATCH 3)</t>
        </is>
      </c>
      <c r="J15" s="33" t="inlineStr">
        <is>
          <t>https://w3id.org/pmd/matsus/MATSUS_0000031</t>
        </is>
      </c>
      <c r="K15" s="33" t="inlineStr">
        <is>
          <t>RepurposingProcess: ACCEPT ? implemented as a planned process with purpose relations deferred.</t>
        </is>
      </c>
      <c r="L15" s="33" t="inlineStr">
        <is>
          <t>MATSUS_0000031 SubClassOf COB_0000082.</t>
        </is>
      </c>
      <c r="M15" s="33" t="inlineStr">
        <is>
          <t>YES - MKB1 IR2 BATCH 3</t>
        </is>
      </c>
      <c r="N15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15" s="33" t="n"/>
      <c r="P15" s="33" t="inlineStr">
        <is>
          <t>IMPLEMENTED_VALIDATED_WITH_BASELINE_EXPLAINED_WARNINGS</t>
        </is>
      </c>
      <c r="Q15" s="33" t="inlineStr">
        <is>
          <t>Ready for human pre-commit review; retain deferred modelling notes.</t>
        </is>
      </c>
      <c r="R15" s="33" t="inlineStr">
        <is>
          <t>Full class-level definition, exact parent, provenance, integration method, editorial decision, and later-axiom notes are in Class Review.</t>
        </is>
      </c>
    </row>
    <row r="16" ht="56" customHeight="1">
      <c r="A16" s="33" t="inlineStr">
        <is>
          <t>3 - DEFERRED</t>
        </is>
      </c>
      <c r="B16" s="33" t="inlineStr">
        <is>
          <t>MKB-000247</t>
        </is>
      </c>
      <c r="C16" s="33" t="inlineStr">
        <is>
          <t>Process</t>
        </is>
      </c>
      <c r="D16" s="33" t="inlineStr">
        <is>
          <t>textile material flow process</t>
        </is>
      </c>
      <c r="E16" s="33" t="inlineStr">
        <is>
          <t>DEFER_MODELLING_USE_CASE</t>
        </is>
      </c>
      <c r="F16" s="33" t="inlineStr">
        <is>
          <t>MatSus; later LOG review</t>
        </is>
      </c>
      <c r="G16" s="33" t="inlineStr">
        <is>
          <t>https://w3id.org/pmd/matsus/TextileMaterialFlowProcess</t>
        </is>
      </c>
      <c r="H16" s="33" t="inlineStr">
        <is>
          <t>MatSus material flow process</t>
        </is>
      </c>
      <c r="I16" s="33" t="inlineStr">
        <is>
          <t>NOT_IMPLEMENTED_BATCH_3</t>
        </is>
      </c>
      <c r="J16" s="33" t="inlineStr">
        <is>
          <t>N/A ? no Batch 3 IRI allocated</t>
        </is>
      </c>
      <c r="K16" s="33" t="inlineStr">
        <is>
          <t>MaterialFlowProcess and TextileMaterialFlowProcess: DEFER ? require dedicated LOG transport, material-location-change, logistics, and material-flow-datum analysis.</t>
        </is>
      </c>
      <c r="L16" s="33" t="inlineStr">
        <is>
          <t>No MatSus axioms in Batch 3.</t>
        </is>
      </c>
      <c r="M16" s="33" t="inlineStr">
        <is>
          <t>N/A</t>
        </is>
      </c>
      <c r="N16" s="33" t="inlineStr">
        <is>
          <t>N/A</t>
        </is>
      </c>
      <c r="O16" s="33" t="n"/>
      <c r="P16" s="33" t="inlineStr">
        <is>
          <t>DEFERRED</t>
        </is>
      </c>
      <c r="Q16" s="33" t="inlineStr">
        <is>
          <t>Complete the LOG-boundary and process-versus-datum analysis before implementation.</t>
        </is>
      </c>
      <c r="R16" s="33" t="inlineStr">
        <is>
          <t>Both candidate classes remain absent; TextileMaterialFlowProcess retains its unsettled parent.</t>
        </is>
      </c>
    </row>
    <row r="17" ht="28" customHeight="1">
      <c r="A17" s="33" t="inlineStr">
        <is>
          <t>1 - LOCAL IMPLEMENTATION</t>
        </is>
      </c>
      <c r="B17" s="33" t="inlineStr">
        <is>
          <t>MKB-000002</t>
        </is>
      </c>
      <c r="C17" s="33" t="inlineStr">
        <is>
          <t>Quality/data/pattern</t>
        </is>
      </c>
      <c r="D17" s="33" t="inlineStr">
        <is>
          <t>decoupling datum</t>
        </is>
      </c>
      <c r="E17" s="33" t="inlineStr">
        <is>
          <t>ALIGN_TO_LOCAL_CANONICAL</t>
        </is>
      </c>
      <c r="F17" s="33" t="inlineStr">
        <is>
          <t>MatSus</t>
        </is>
      </c>
      <c r="G17" s="33" t="inlineStr">
        <is>
          <t>https://w3id.org/pmd/matsus/DecouplingDatum</t>
        </is>
      </c>
      <c r="H17" s="33" t="inlineStr">
        <is>
          <t>IAO data item (IAO_0000027)</t>
        </is>
      </c>
      <c r="I17" s="33" t="inlineStr">
        <is>
          <t>IMPLEMENTED_IN_MATSUS_EDIT (BATCH 3)</t>
        </is>
      </c>
      <c r="J17" s="33" t="inlineStr">
        <is>
          <t>https://w3id.org/pmd/matsus/MATSUS_0000037</t>
        </is>
      </c>
      <c r="K17" s="33" t="inlineStr">
        <is>
          <t>DecouplingDatum: ACCEPT ? implemented as the established sustainability/resource-efficiency comparative data item, not a separation process.</t>
        </is>
      </c>
      <c r="L17" s="33" t="inlineStr">
        <is>
          <t>MATSUS_0000037 SubClassOf IAO_0000027.</t>
        </is>
      </c>
      <c r="M17" s="33" t="inlineStr">
        <is>
          <t>YES - MKB1 IR2 BATCH 3</t>
        </is>
      </c>
      <c r="N17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17" s="33" t="n"/>
      <c r="P17" s="33" t="inlineStr">
        <is>
          <t>IMPLEMENTED_VALIDATED_WITH_BASELINE_EXPLAINED_WARNINGS</t>
        </is>
      </c>
      <c r="Q17" s="33" t="inlineStr">
        <is>
          <t>Defer absolute/relative classifications, indicators, calculation method, ratio, baseline, and temporal relations.</t>
        </is>
      </c>
      <c r="R17" s="33" t="inlineStr">
        <is>
          <t>Full class-level definition, exact parent, provenance, integration method, editorial decision, and later-axiom notes are in Class Review.</t>
        </is>
      </c>
    </row>
    <row r="18" ht="28" customHeight="1">
      <c r="A18" s="33" t="inlineStr">
        <is>
          <t>1 - LOCAL IMPLEMENTATION</t>
        </is>
      </c>
      <c r="B18" s="33" t="inlineStr">
        <is>
          <t>MKB-000069</t>
        </is>
      </c>
      <c r="C18" s="33" t="inlineStr">
        <is>
          <t>Quality/data/pattern</t>
        </is>
      </c>
      <c r="D18" s="33" t="inlineStr">
        <is>
          <t>decoupling datum</t>
        </is>
      </c>
      <c r="E18" s="33" t="inlineStr">
        <is>
          <t>IMPLEMENT_LOCAL_MATSUS_TERM</t>
        </is>
      </c>
      <c r="F18" s="33" t="inlineStr">
        <is>
          <t>MatSus</t>
        </is>
      </c>
      <c r="G18" s="33" t="inlineStr">
        <is>
          <t>https://w3id.org/pmd/matsus/DecouplingDatum</t>
        </is>
      </c>
      <c r="H18" s="33" t="inlineStr">
        <is>
          <t>IAO data item (IAO_0000027)</t>
        </is>
      </c>
      <c r="I18" s="33" t="inlineStr">
        <is>
          <t>IMPLEMENTED_IN_MATSUS_EDIT (BATCH 3)</t>
        </is>
      </c>
      <c r="J18" s="33" t="inlineStr">
        <is>
          <t>https://w3id.org/pmd/matsus/MATSUS_0000037</t>
        </is>
      </c>
      <c r="K18" s="33" t="inlineStr">
        <is>
          <t>DecouplingDatum: ACCEPT ? one class consolidates MKB-000002 and MKB-000069.</t>
        </is>
      </c>
      <c r="L18" s="33" t="inlineStr">
        <is>
          <t>MATSUS_0000037 SubClassOf IAO_0000027.</t>
        </is>
      </c>
      <c r="M18" s="33" t="inlineStr">
        <is>
          <t>YES - MKB1 IR2 BATCH 3</t>
        </is>
      </c>
      <c r="N18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18" s="33" t="n"/>
      <c r="P18" s="33" t="inlineStr">
        <is>
          <t>IMPLEMENTED_VALIDATED_WITH_BASELINE_EXPLAINED_WARNINGS</t>
        </is>
      </c>
      <c r="Q18" s="33" t="inlineStr">
        <is>
          <t>Defer absolute/relative classifications, indicators, calculation method, ratio, baseline, and temporal relations.</t>
        </is>
      </c>
      <c r="R18" s="33" t="inlineStr">
        <is>
          <t>Full class-level definition, exact parent, provenance, integration method, editorial decision, and later-axiom notes are in Class Review.</t>
        </is>
      </c>
    </row>
    <row r="19" ht="28" customHeight="1">
      <c r="A19" s="33" t="inlineStr">
        <is>
          <t>1 - LOCAL IMPLEMENTATION</t>
        </is>
      </c>
      <c r="B19" s="33" t="inlineStr">
        <is>
          <t>MKB-000146</t>
        </is>
      </c>
      <c r="C19" s="33" t="inlineStr">
        <is>
          <t>Quality/data/pattern</t>
        </is>
      </c>
      <c r="D19" s="33" t="inlineStr">
        <is>
          <t>modularity</t>
        </is>
      </c>
      <c r="E19" s="33" t="inlineStr">
        <is>
          <t>IMPLEMENT_LOCAL_MATSUS_TERM</t>
        </is>
      </c>
      <c r="F19" s="33" t="inlineStr">
        <is>
          <t>MatSus</t>
        </is>
      </c>
      <c r="G19" s="33" t="inlineStr">
        <is>
          <t>https://w3id.org/pmd/matsus/Modularity</t>
        </is>
      </c>
      <c r="H19" s="33" t="inlineStr">
        <is>
          <t>BFO quality (BFO_0000019)</t>
        </is>
      </c>
      <c r="I19" s="33" t="inlineStr">
        <is>
          <t>IMPLEMENTED_IN_MATSUS_EDIT (BATCH 3)</t>
        </is>
      </c>
      <c r="J19" s="33" t="inlineStr">
        <is>
          <t>https://w3id.org/pmd/matsus/MATSUS_0000038</t>
        </is>
      </c>
      <c r="K19" s="33" t="inlineStr">
        <is>
          <t>Modularity: ACCEPT ? implemented as a BFO quality, not an object aggregate.</t>
        </is>
      </c>
      <c r="L19" s="33" t="inlineStr">
        <is>
          <t>MATSUS_0000038 SubClassOf BFO_0000019.</t>
        </is>
      </c>
      <c r="M19" s="33" t="inlineStr">
        <is>
          <t>YES - MKB1 IR2 BATCH 3</t>
        </is>
      </c>
      <c r="N19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19" s="33" t="n"/>
      <c r="P19" s="33" t="inlineStr">
        <is>
          <t>IMPLEMENTED_VALIDATED_WITH_BASELINE_EXPLAINED_WARNINGS</t>
        </is>
      </c>
      <c r="Q19" s="33" t="inlineStr">
        <is>
          <t>Ready for human pre-commit review; retain deferred modelling notes.</t>
        </is>
      </c>
      <c r="R19" s="33" t="inlineStr">
        <is>
          <t>Full class-level definition, exact parent, provenance, integration method, editorial decision, and later-axiom notes are in Class Review.</t>
        </is>
      </c>
    </row>
    <row r="20" ht="28" customHeight="1">
      <c r="A20" s="33" t="inlineStr">
        <is>
          <t>1 - LOCAL IMPLEMENTATION</t>
        </is>
      </c>
      <c r="B20" s="33" t="inlineStr">
        <is>
          <t>MKB-000205</t>
        </is>
      </c>
      <c r="C20" s="33" t="inlineStr">
        <is>
          <t>Quality/data/pattern</t>
        </is>
      </c>
      <c r="D20" s="33" t="inlineStr">
        <is>
          <t>resource efficiency datum</t>
        </is>
      </c>
      <c r="E20" s="33" t="inlineStr">
        <is>
          <t>IMPLEMENT_LOCAL_MATSUS_TERM</t>
        </is>
      </c>
      <c r="F20" s="33" t="inlineStr">
        <is>
          <t>MatSus</t>
        </is>
      </c>
      <c r="G20" s="33" t="inlineStr">
        <is>
          <t>https://w3id.org/pmd/matsus/ResourceEfficiencyDatum</t>
        </is>
      </c>
      <c r="H20" s="33" t="inlineStr">
        <is>
          <t>IAO data item (IAO_0000027)</t>
        </is>
      </c>
      <c r="I20" s="33" t="inlineStr">
        <is>
          <t>IMPLEMENTED_IN_MATSUS_EDIT (BATCH 3)</t>
        </is>
      </c>
      <c r="J20" s="33" t="inlineStr">
        <is>
          <t>https://w3id.org/pmd/matsus/MATSUS_0000028</t>
        </is>
      </c>
      <c r="K20" s="33" t="inlineStr">
        <is>
          <t>ResourceEfficiencyDatum: ACCEPT ? implemented as a calculated/result datum, not an intrinsic quality.</t>
        </is>
      </c>
      <c r="L20" s="33" t="inlineStr">
        <is>
          <t>MATSUS_0000028 SubClassOf IAO_0000027.</t>
        </is>
      </c>
      <c r="M20" s="33" t="inlineStr">
        <is>
          <t>YES - MKB1 IR2 BATCH 3</t>
        </is>
      </c>
      <c r="N20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20" s="33" t="n"/>
      <c r="P20" s="33" t="inlineStr">
        <is>
          <t>IMPLEMENTED_VALIDATED_WITH_BASELINE_EXPLAINED_WARNINGS</t>
        </is>
      </c>
      <c r="Q20" s="33" t="inlineStr">
        <is>
          <t>Ready for human pre-commit review; retain deferred modelling notes.</t>
        </is>
      </c>
      <c r="R20" s="33" t="inlineStr">
        <is>
          <t>Full class-level definition, exact parent, provenance, integration method, editorial decision, and later-axiom notes are in Class Review.</t>
        </is>
      </c>
    </row>
    <row r="21" ht="56" customHeight="1">
      <c r="A21" s="33" t="inlineStr">
        <is>
          <t>1 - LOCAL IMPLEMENTATION</t>
        </is>
      </c>
      <c r="B21" s="33" t="inlineStr">
        <is>
          <t>MKB-000063</t>
        </is>
      </c>
      <c r="C21" s="33" t="inlineStr">
        <is>
          <t>Waste package</t>
        </is>
      </c>
      <c r="D21" s="33" t="inlineStr">
        <is>
          <t>construction and demolition waste</t>
        </is>
      </c>
      <c r="E21" s="33" t="inlineStr">
        <is>
          <t>IMPLEMENT_LOCAL_MATSUS_TERM</t>
        </is>
      </c>
      <c r="F21" s="33" t="inlineStr">
        <is>
          <t>MatSus</t>
        </is>
      </c>
      <c r="G21" s="33" t="inlineStr">
        <is>
          <t>https://w3id.org/pmd/matsus/ConstructionAndDemolitionWaste</t>
        </is>
      </c>
      <c r="H21" s="33" t="inlineStr">
        <is>
          <t>MatSus waste material (provisional PMDco handoff anchor)</t>
        </is>
      </c>
      <c r="I21" s="33" t="inlineStr">
        <is>
          <t>IMPLEMENTED_IN_MATSUS_EDIT (BATCH 2)</t>
        </is>
      </c>
      <c r="J21" s="33" t="inlineStr">
        <is>
          <t>https://w3id.org/pmd/matsus/MATSUS_0000009</t>
        </is>
      </c>
      <c r="K21" s="33" t="inlineStr">
        <is>
          <t>ConstructionAndDemolitionWaste: ACCEPT — clear waste subtype under the provisional waste-material anchor.</t>
        </is>
      </c>
      <c r="L21" s="33" t="inlineStr">
        <is>
          <t>ConstructionAndDemolitionWaste SubClassOf WasteMaterial.</t>
        </is>
      </c>
      <c r="M21" s="33" t="inlineStr">
        <is>
          <t>YES - MKB1 IR2 BATCH 2</t>
        </is>
      </c>
      <c r="N21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  <c r="O21" s="33" t="inlineStr">
        <is>
          <t>https://github.com/materialdigital/core-ontology/issues/485 — provisional MatSus implementation proceeds while PMDco decides the anchors</t>
        </is>
      </c>
      <c r="P21" s="33" t="inlineStr">
        <is>
          <t>IMPLEMENTED_VALIDATED_WITH_BASELINE_EXPLAINED_WARNINGS</t>
        </is>
      </c>
      <c r="Q21" s="33" t="inlineStr">
        <is>
          <t>Ready for human pre-commit review; retain deferred modelling notes.</t>
        </is>
      </c>
      <c r="R21" s="33" t="inlineStr">
        <is>
          <t>Full class-level definition, parent, confidence and later-axiom notes are in Class Review.</t>
        </is>
      </c>
    </row>
    <row r="22" ht="56" customHeight="1">
      <c r="A22" s="33" t="inlineStr">
        <is>
          <t>1 - LOCAL IMPLEMENTATION</t>
        </is>
      </c>
      <c r="B22" s="33" t="inlineStr">
        <is>
          <t>MKB-000085</t>
        </is>
      </c>
      <c r="C22" s="33" t="inlineStr">
        <is>
          <t>Waste package</t>
        </is>
      </c>
      <c r="D22" s="33" t="inlineStr">
        <is>
          <t>waste elimination objective specification</t>
        </is>
      </c>
      <c r="E22" s="33" t="inlineStr">
        <is>
          <t>REFORMULATE_TO_SPECIFICATION_AND_IMPLEMENT</t>
        </is>
      </c>
      <c r="F22" s="33" t="inlineStr">
        <is>
          <t>MatSus</t>
        </is>
      </c>
      <c r="G22" s="33" t="inlineStr">
        <is>
          <t>https://w3id.org/pmd/matsus/WasteEliminationObjectiveSpecification</t>
        </is>
      </c>
      <c r="H22" s="33" t="inlineStr">
        <is>
          <t>IAO objective specification (IAO_0000005)</t>
        </is>
      </c>
      <c r="I22" s="33" t="inlineStr">
        <is>
          <t>IMPLEMENTED_IN_MATSUS_EDIT (BATCH 2)</t>
        </is>
      </c>
      <c r="J22" s="33" t="inlineStr">
        <is>
          <t>https://w3id.org/pmd/matsus/MATSUS_0000024</t>
        </is>
      </c>
      <c r="K22" s="33" t="inlineStr">
        <is>
          <t>WasteEliminationObjectiveSpecification: ACCEPT PROVISIONALLY — implemented for intended absence of specified waste output within a stated scope; pollution-elimination modelling is deferred.</t>
        </is>
      </c>
      <c r="L22" s="33" t="inlineStr">
        <is>
          <t>MATSUS_0000024 SubClassOf IAO_0000005.</t>
        </is>
      </c>
      <c r="M22" s="33" t="inlineStr">
        <is>
          <t>YES - MKB1 IR2 BATCH 2</t>
        </is>
      </c>
      <c r="N22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  <c r="O22" s="33" t="inlineStr">
        <is>
          <t>https://github.com/materialdigital/core-ontology/issues/485 — provisional MatSus implementation proceeds while PMDco decides the anchors</t>
        </is>
      </c>
      <c r="P22" s="33" t="inlineStr">
        <is>
          <t>IMPLEMENTED_VALIDATED_WITH_BASELINE_EXPLAINED_WARNINGS</t>
        </is>
      </c>
      <c r="Q22" s="33" t="inlineStr">
        <is>
          <t>Implemented for waste elimination only. Retain MKB-000085 provenance; defer pollution-elimination modelling until a suitable pollution target pattern is established.</t>
        </is>
      </c>
      <c r="R22" s="33" t="inlineStr">
        <is>
          <t>Full class-level definition, parent, confidence and later-axiom notes are in Class Review.</t>
        </is>
      </c>
    </row>
    <row r="23" ht="56" customHeight="1">
      <c r="A23" s="33" t="inlineStr">
        <is>
          <t>1 - LOCAL IMPLEMENTATION</t>
        </is>
      </c>
      <c r="B23" s="33" t="inlineStr">
        <is>
          <t>MKB-000144</t>
        </is>
      </c>
      <c r="C23" s="33" t="inlineStr">
        <is>
          <t>Waste package</t>
        </is>
      </c>
      <c r="D23" s="33" t="inlineStr">
        <is>
          <t>mineral waste</t>
        </is>
      </c>
      <c r="E23" s="33" t="inlineStr">
        <is>
          <t>IMPLEMENT_LOCAL_MATSUS_TERM</t>
        </is>
      </c>
      <c r="F23" s="33" t="inlineStr">
        <is>
          <t>MatSus</t>
        </is>
      </c>
      <c r="G23" s="33" t="inlineStr">
        <is>
          <t>https://w3id.org/pmd/matsus/MineralWaste</t>
        </is>
      </c>
      <c r="H23" s="33" t="inlineStr">
        <is>
          <t>MatSus waste material (provisional PMDco handoff anchor)</t>
        </is>
      </c>
      <c r="I23" s="33" t="inlineStr">
        <is>
          <t>IMPLEMENTED_IN_MATSUS_EDIT (BATCH 2)</t>
        </is>
      </c>
      <c r="J23" s="33" t="inlineStr">
        <is>
          <t>https://w3id.org/pmd/matsus/MATSUS_0000010</t>
        </is>
      </c>
      <c r="K23" s="33" t="inlineStr">
        <is>
          <t>MineralWaste: ACCEPT PROVISIONALLY — parent is correct; retain the source scope because ‘predominantly mineral’ may require a threshold or classification rule.</t>
        </is>
      </c>
      <c r="L23" s="33" t="inlineStr">
        <is>
          <t>MineralWaste SubClassOf WasteMaterial.</t>
        </is>
      </c>
      <c r="M23" s="33" t="inlineStr">
        <is>
          <t>YES - MKB1 IR2 BATCH 2</t>
        </is>
      </c>
      <c r="N23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  <c r="O23" s="33" t="inlineStr">
        <is>
          <t>https://github.com/materialdigital/core-ontology/issues/485 — provisional MatSus implementation proceeds while PMDco decides the anchors</t>
        </is>
      </c>
      <c r="P23" s="33" t="inlineStr">
        <is>
          <t>IMPLEMENTED_VALIDATED_WITH_BASELINE_EXPLAINED_WARNINGS</t>
        </is>
      </c>
      <c r="Q23" s="33" t="inlineStr">
        <is>
          <t>Ready for human pre-commit review; retain deferred modelling notes.</t>
        </is>
      </c>
      <c r="R23" s="33" t="inlineStr">
        <is>
          <t>Full class-level definition, parent, confidence and later-axiom notes are in Class Review.</t>
        </is>
      </c>
    </row>
    <row r="24" ht="56" customHeight="1">
      <c r="A24" s="33" t="inlineStr">
        <is>
          <t>1 - LOCAL IMPLEMENTATION</t>
        </is>
      </c>
      <c r="B24" s="33" t="inlineStr">
        <is>
          <t>MKB-000148</t>
        </is>
      </c>
      <c r="C24" s="33" t="inlineStr">
        <is>
          <t>Waste package</t>
        </is>
      </c>
      <c r="D24" s="33" t="inlineStr">
        <is>
          <t>municipal waste</t>
        </is>
      </c>
      <c r="E24" s="33" t="inlineStr">
        <is>
          <t>IMPLEMENT_LOCAL_MATSUS_TERM</t>
        </is>
      </c>
      <c r="F24" s="33" t="inlineStr">
        <is>
          <t>MatSus</t>
        </is>
      </c>
      <c r="G24" s="33" t="inlineStr">
        <is>
          <t>https://w3id.org/pmd/matsus/MunicipalWaste</t>
        </is>
      </c>
      <c r="H24" s="33" t="inlineStr">
        <is>
          <t>MatSus waste material (provisional PMDco handoff anchor)</t>
        </is>
      </c>
      <c r="I24" s="33" t="inlineStr">
        <is>
          <t>IMPLEMENTED_IN_MATSUS_EDIT (BATCH 2)</t>
        </is>
      </c>
      <c r="J24" s="33" t="inlineStr">
        <is>
          <t>https://w3id.org/pmd/matsus/MATSUS_0000011</t>
        </is>
      </c>
      <c r="K24" s="33" t="inlineStr">
        <is>
          <t>MunicipalWaste: ACCEPT — definition and parent match the intended household/similar-source scope.</t>
        </is>
      </c>
      <c r="L24" s="33" t="inlineStr">
        <is>
          <t>MunicipalWaste SubClassOf WasteMaterial.</t>
        </is>
      </c>
      <c r="M24" s="33" t="inlineStr">
        <is>
          <t>YES - MKB1 IR2 BATCH 2</t>
        </is>
      </c>
      <c r="N24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  <c r="O24" s="33" t="inlineStr">
        <is>
          <t>https://github.com/materialdigital/core-ontology/issues/485 — provisional MatSus implementation proceeds while PMDco decides the anchors</t>
        </is>
      </c>
      <c r="P24" s="33" t="inlineStr">
        <is>
          <t>IMPLEMENTED_VALIDATED_WITH_BASELINE_EXPLAINED_WARNINGS</t>
        </is>
      </c>
      <c r="Q24" s="33" t="inlineStr">
        <is>
          <t>Ready for human pre-commit review; retain deferred modelling notes.</t>
        </is>
      </c>
      <c r="R24" s="33" t="inlineStr">
        <is>
          <t>Full class-level definition, parent, confidence and later-axiom notes are in Class Review.</t>
        </is>
      </c>
    </row>
    <row r="25" ht="56" customHeight="1">
      <c r="A25" s="33" t="inlineStr">
        <is>
          <t>1 - LOCAL IMPLEMENTATION</t>
        </is>
      </c>
      <c r="B25" s="33" t="inlineStr">
        <is>
          <t>MKB-000155</t>
        </is>
      </c>
      <c r="C25" s="33" t="inlineStr">
        <is>
          <t>Waste package</t>
        </is>
      </c>
      <c r="D25" s="33" t="inlineStr">
        <is>
          <t>packaging waste</t>
        </is>
      </c>
      <c r="E25" s="33" t="inlineStr">
        <is>
          <t>IMPLEMENT_LOCAL_MATSUS_TERM</t>
        </is>
      </c>
      <c r="F25" s="33" t="inlineStr">
        <is>
          <t>MatSus</t>
        </is>
      </c>
      <c r="G25" s="33" t="inlineStr">
        <is>
          <t>https://w3id.org/pmd/matsus/PackagingWaste</t>
        </is>
      </c>
      <c r="H25" s="33" t="inlineStr">
        <is>
          <t>MatSus waste material (provisional PMDco handoff anchor)</t>
        </is>
      </c>
      <c r="I25" s="33" t="inlineStr">
        <is>
          <t>IMPLEMENTED_IN_MATSUS_EDIT (BATCH 2)</t>
        </is>
      </c>
      <c r="J25" s="33" t="inlineStr">
        <is>
          <t>https://w3id.org/pmd/matsus/MATSUS_0000012</t>
        </is>
      </c>
      <c r="K25" s="33" t="inlineStr">
        <is>
          <t>PackagingWaste: ACCEPT — implemented with the selected source-aligned definition; production-residue exclusion remains an editorial constraint pending a validated logical pattern.</t>
        </is>
      </c>
      <c r="L25" s="33" t="inlineStr">
        <is>
          <t>PackagingWaste SubClassOf WasteMaterial.</t>
        </is>
      </c>
      <c r="M25" s="33" t="inlineStr">
        <is>
          <t>YES - MKB1 IR2 BATCH 2</t>
        </is>
      </c>
      <c r="N25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  <c r="O25" s="33" t="inlineStr">
        <is>
          <t>https://github.com/materialdigital/core-ontology/issues/485 — provisional MatSus implementation proceeds while PMDco decides the anchors</t>
        </is>
      </c>
      <c r="P25" s="33" t="inlineStr">
        <is>
          <t>IMPLEMENTED_VALIDATED_WITH_BASELINE_EXPLAINED_WARNINGS</t>
        </is>
      </c>
      <c r="Q25" s="33" t="inlineStr">
        <is>
          <t>Ready for human pre-commit review; retain deferred modelling notes.</t>
        </is>
      </c>
      <c r="R25" s="33" t="inlineStr">
        <is>
          <t>Full class-level definition, parent, confidence and later-axiom notes are in Class Review.</t>
        </is>
      </c>
    </row>
    <row r="26" ht="56" customHeight="1">
      <c r="A26" s="33" t="inlineStr">
        <is>
          <t>1 - LOCAL IMPLEMENTATION</t>
        </is>
      </c>
      <c r="B26" s="33" t="inlineStr">
        <is>
          <t>MKB-000236</t>
        </is>
      </c>
      <c r="C26" s="33" t="inlineStr">
        <is>
          <t>Waste package</t>
        </is>
      </c>
      <c r="D26" s="33" t="inlineStr">
        <is>
          <t>waste analysis + structural waste analysis</t>
        </is>
      </c>
      <c r="E26" s="33" t="inlineStr">
        <is>
          <t>IMPLEMENT_LOCAL_MATSUS_PATTERN</t>
        </is>
      </c>
      <c r="F26" s="33" t="inlineStr">
        <is>
          <t>MatSus</t>
        </is>
      </c>
      <c r="G26" s="33" t="inlineStr">
        <is>
          <t>https://w3id.org/pmd/matsus/StructuralWasteAnalysis</t>
        </is>
      </c>
      <c r="H26" s="33" t="inlineStr">
        <is>
          <t>OBI assay (OBI_0000070)</t>
        </is>
      </c>
      <c r="I26" s="33" t="inlineStr">
        <is>
          <t>IMPLEMENTED_IN_MATSUS_EDIT (BATCH 2)</t>
        </is>
      </c>
      <c r="J26" s="33" t="inlineStr">
        <is>
          <t>https://w3id.org/pmd/matsus/MATSUS_0000025 | https://w3id.org/pmd/matsus/MATSUS_0000026</t>
        </is>
      </c>
      <c r="K26" s="33" t="inlineStr">
        <is>
          <t>WasteAnalysis: ACCEPT — implemented as an OBI assay. | StructuralWasteAnalysis: ACCEPT — definition narrowed to composition, organization, or distribution of material constituents; recurring-source analysis is deferred as a sibling.</t>
        </is>
      </c>
      <c r="L26" s="33" t="inlineStr">
        <is>
          <t>MATSUS_0000025 SubClassOf OBI_0000070. | MATSUS_0000026 SubClassOf MATSUS_0000025.</t>
        </is>
      </c>
      <c r="M26" s="33" t="inlineStr">
        <is>
          <t>YES - MKB1 IR2 BATCH 2</t>
        </is>
      </c>
      <c r="N26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  <c r="O26" s="33" t="inlineStr">
        <is>
          <t>https://github.com/materialdigital/core-ontology/issues/485 — provisional MatSus implementation proceeds while PMDco decides the anchors</t>
        </is>
      </c>
      <c r="P26" s="33" t="inlineStr">
        <is>
          <t>IMPLEMENTED_VALIDATED_WITH_BASELINE_EXPLAINED_WARNINGS</t>
        </is>
      </c>
      <c r="Q26" s="33" t="inlineStr">
        <is>
          <t>Ready for human pre-commit review; retain deferred modelling notes.</t>
        </is>
      </c>
      <c r="R26" s="33" t="inlineStr">
        <is>
          <t>Full class-level definition, parent, confidence and later-axiom notes are in Class Review.</t>
        </is>
      </c>
    </row>
    <row r="27" ht="56" customHeight="1">
      <c r="A27" s="33" t="inlineStr">
        <is>
          <t>1 - LOCAL IMPLEMENTATION</t>
        </is>
      </c>
      <c r="B27" s="33" t="inlineStr">
        <is>
          <t>MKB-000249</t>
        </is>
      </c>
      <c r="C27" s="33" t="inlineStr">
        <is>
          <t>Waste package</t>
        </is>
      </c>
      <c r="D27" s="33" t="inlineStr">
        <is>
          <t>textile waste</t>
        </is>
      </c>
      <c r="E27" s="33" t="inlineStr">
        <is>
          <t>IMPLEMENT_LOCAL_MATSUS_TERM</t>
        </is>
      </c>
      <c r="F27" s="33" t="inlineStr">
        <is>
          <t>MatSus</t>
        </is>
      </c>
      <c r="G27" s="33" t="inlineStr">
        <is>
          <t>https://w3id.org/pmd/matsus/TextileWaste</t>
        </is>
      </c>
      <c r="H27" s="33" t="inlineStr">
        <is>
          <t>MatSus waste material (provisional PMDco handoff anchor)</t>
        </is>
      </c>
      <c r="I27" s="33" t="inlineStr">
        <is>
          <t>IMPLEMENTED_IN_MATSUS_EDIT (BATCH 2)</t>
        </is>
      </c>
      <c r="J27" s="33" t="inlineStr">
        <is>
          <t>https://w3id.org/pmd/matsus/MATSUS_0000013</t>
        </is>
      </c>
      <c r="K27" s="33" t="inlineStr">
        <is>
          <t>TextileWaste: ACCEPT PROVISIONALLY — usable broad subtype; keep source-specific textile composition/product criteria outside the core definition for now.</t>
        </is>
      </c>
      <c r="L27" s="33" t="inlineStr">
        <is>
          <t>TextileWaste SubClassOf WasteMaterial.</t>
        </is>
      </c>
      <c r="M27" s="33" t="inlineStr">
        <is>
          <t>YES - MKB1 IR2 BATCH 2</t>
        </is>
      </c>
      <c r="N27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  <c r="O27" s="33" t="inlineStr">
        <is>
          <t>https://github.com/materialdigital/core-ontology/issues/485 — provisional MatSus implementation proceeds while PMDco decides the anchors</t>
        </is>
      </c>
      <c r="P27" s="33" t="inlineStr">
        <is>
          <t>IMPLEMENTED_VALIDATED_WITH_BASELINE_EXPLAINED_WARNINGS</t>
        </is>
      </c>
      <c r="Q27" s="33" t="inlineStr">
        <is>
          <t>Ready for human pre-commit review; retain deferred modelling notes.</t>
        </is>
      </c>
      <c r="R27" s="33" t="inlineStr">
        <is>
          <t>Full class-level definition, parent, confidence and later-axiom notes are in Class Review.</t>
        </is>
      </c>
    </row>
    <row r="28" ht="56" customHeight="1">
      <c r="A28" s="33" t="inlineStr">
        <is>
          <t>1 - LOCAL IMPLEMENTATION</t>
        </is>
      </c>
      <c r="B28" s="33" t="inlineStr">
        <is>
          <t>MKB-000263</t>
        </is>
      </c>
      <c r="C28" s="33" t="inlineStr">
        <is>
          <t>Waste package</t>
        </is>
      </c>
      <c r="D28" s="33" t="inlineStr">
        <is>
          <t>waste generation process</t>
        </is>
      </c>
      <c r="E28" s="33" t="inlineStr">
        <is>
          <t>IMPLEMENT_LOCAL_MATSUS_TERM</t>
        </is>
      </c>
      <c r="F28" s="33" t="inlineStr">
        <is>
          <t>MatSus</t>
        </is>
      </c>
      <c r="G28" s="33" t="inlineStr">
        <is>
          <t>https://w3id.org/pmd/matsus/WasteGenerationProcess</t>
        </is>
      </c>
      <c r="H28" s="33" t="inlineStr">
        <is>
          <t>BFO process (BFO_0000015)</t>
        </is>
      </c>
      <c r="I28" s="33" t="inlineStr">
        <is>
          <t>IMPLEMENTED_IN_MATSUS_EDIT (BATCH 2)</t>
        </is>
      </c>
      <c r="J28" s="33" t="inlineStr">
        <is>
          <t>https://w3id.org/pmd/matsus/MATSUS_0000019</t>
        </is>
      </c>
      <c r="K28" s="33" t="inlineStr">
        <is>
          <t>WasteGenerationProcess: ACCEPT — the general process parent avoids incorrectly assuming intentional production.</t>
        </is>
      </c>
      <c r="L28" s="33" t="inlineStr">
        <is>
          <t>MATSUS_0000019 SubClassOf BFO_0000015; MATSUS_0000019 SubClassOf RO_0002234 some MATSUS_0000008.</t>
        </is>
      </c>
      <c r="M28" s="33" t="inlineStr">
        <is>
          <t>YES - MKB1 IR2 BATCH 2</t>
        </is>
      </c>
      <c r="N28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  <c r="O28" s="33" t="inlineStr">
        <is>
          <t>https://github.com/materialdigital/core-ontology/issues/485 — provisional MatSus implementation proceeds while PMDco decides the anchors</t>
        </is>
      </c>
      <c r="P28" s="33" t="inlineStr">
        <is>
          <t>IMPLEMENTED_VALIDATED_WITH_BASELINE_EXPLAINED_WARNINGS</t>
        </is>
      </c>
      <c r="Q28" s="33" t="inlineStr">
        <is>
          <t>Ready for human pre-commit review; retain deferred modelling notes.</t>
        </is>
      </c>
      <c r="R28" s="33" t="inlineStr">
        <is>
          <t>Full class-level definition, parent, confidence and later-axiom notes are in Class Review.</t>
        </is>
      </c>
    </row>
    <row r="29" ht="56" customHeight="1">
      <c r="A29" s="33" t="inlineStr">
        <is>
          <t>1 - LOCAL IMPLEMENTATION</t>
        </is>
      </c>
      <c r="B29" s="33" t="inlineStr">
        <is>
          <t>MKB-000264</t>
        </is>
      </c>
      <c r="C29" s="33" t="inlineStr">
        <is>
          <t>Waste package</t>
        </is>
      </c>
      <c r="D29" s="33" t="inlineStr">
        <is>
          <t>waste prevention process + waste prevention measure specification</t>
        </is>
      </c>
      <c r="E29" s="33" t="inlineStr">
        <is>
          <t>IMPLEMENT_LOCAL_MATSUS_PATTERN</t>
        </is>
      </c>
      <c r="F29" s="33" t="inlineStr">
        <is>
          <t>MatSus</t>
        </is>
      </c>
      <c r="G29" s="33" t="inlineStr">
        <is>
          <t>https://w3id.org/pmd/matsus/WastePreventionProcess | https://w3id.org/pmd/matsus/WastePreventionMeasureSpecification</t>
        </is>
      </c>
      <c r="H29" s="33" t="inlineStr">
        <is>
          <t>COB planned process + IAO plan specification</t>
        </is>
      </c>
      <c r="I29" s="33" t="inlineStr">
        <is>
          <t>IMPLEMENTED_IN_MATSUS_EDIT (BATCH 2)</t>
        </is>
      </c>
      <c r="J29" s="33" t="inlineStr">
        <is>
          <t>https://w3id.org/pmd/matsus/MATSUS_0000020 | https://w3id.org/pmd/matsus/MATSUS_0000021</t>
        </is>
      </c>
      <c r="K29" s="33" t="inlineStr">
        <is>
          <t>WastePreventionProcess: ACCEPT — the process/specification split is correct. | WastePreventionMeasureSpecification: ACCEPT — it is an information artifact prescribing a prevention process, not the process itself.</t>
        </is>
      </c>
      <c r="L29" s="33" t="inlineStr">
        <is>
          <t>WastePreventionProcess SubClassOf COB planned process. | WastePreventionMeasureSpecification SubClassOf IAO plan specification.</t>
        </is>
      </c>
      <c r="M29" s="33" t="inlineStr">
        <is>
          <t>YES - MKB1 IR2 BATCH 2</t>
        </is>
      </c>
      <c r="N29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  <c r="O29" s="33" t="inlineStr">
        <is>
          <t>https://github.com/materialdigital/core-ontology/issues/485 — provisional MatSus implementation proceeds while PMDco decides the anchors</t>
        </is>
      </c>
      <c r="P29" s="33" t="inlineStr">
        <is>
          <t>IMPLEMENTED_VALIDATED_WITH_BASELINE_EXPLAINED_WARNINGS</t>
        </is>
      </c>
      <c r="Q29" s="33" t="inlineStr">
        <is>
          <t>Ready for human pre-commit review; retain deferred modelling notes.</t>
        </is>
      </c>
      <c r="R29" s="33" t="inlineStr">
        <is>
          <t>Full class-level definition, parent, confidence and later-axiom notes are in Class Review.</t>
        </is>
      </c>
    </row>
    <row r="30" ht="56" customHeight="1">
      <c r="A30" s="33" t="inlineStr">
        <is>
          <t>1 - LOCAL IMPLEMENTATION</t>
        </is>
      </c>
      <c r="B30" s="33" t="inlineStr">
        <is>
          <t>MKB-000266</t>
        </is>
      </c>
      <c r="C30" s="33" t="inlineStr">
        <is>
          <t>Waste package</t>
        </is>
      </c>
      <c r="D30" s="33" t="inlineStr">
        <is>
          <t>zero-waste objective specification + zero-waste strategy specification</t>
        </is>
      </c>
      <c r="E30" s="33" t="inlineStr">
        <is>
          <t>IMPLEMENT_LOCAL_MATSUS_PATTERN</t>
        </is>
      </c>
      <c r="F30" s="33" t="inlineStr">
        <is>
          <t>MatSus</t>
        </is>
      </c>
      <c r="G30" s="33" t="inlineStr">
        <is>
          <t>https://w3id.org/pmd/matsus/ZeroWasteObjectiveSpecification | https://w3id.org/pmd/matsus/ZeroWasteStrategySpecification</t>
        </is>
      </c>
      <c r="H30" s="33" t="inlineStr">
        <is>
          <t>IAO objective specification + IAO plan specification</t>
        </is>
      </c>
      <c r="I30" s="33" t="inlineStr">
        <is>
          <t>IMPLEMENTED_IN_MATSUS_EDIT (BATCH 2)</t>
        </is>
      </c>
      <c r="J30" s="33" t="inlineStr">
        <is>
          <t>https://w3id.org/pmd/matsus/MATSUS_0000022 | https://w3id.org/pmd/matsus/MATSUS_0000023</t>
        </is>
      </c>
      <c r="K30" s="33" t="inlineStr">
        <is>
          <t>ZeroWasteObjectiveSpecification: ACCEPT — zero waste is correctly represented as a desired endpoint. | ZeroWasteStrategySpecification: ACCEPT — a strategy is correctly separated from the objective.</t>
        </is>
      </c>
      <c r="L30" s="33" t="inlineStr">
        <is>
          <t>ZeroWasteObjectiveSpecification SubClassOf IAO objective specification. | ZeroWasteStrategySpecification SubClassOf IAO plan specification.</t>
        </is>
      </c>
      <c r="M30" s="33" t="inlineStr">
        <is>
          <t>YES - MKB1 IR2 BATCH 2</t>
        </is>
      </c>
      <c r="N30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  <c r="O30" s="33" t="inlineStr">
        <is>
          <t>https://github.com/materialdigital/core-ontology/issues/485 — provisional MatSus implementation proceeds while PMDco decides the anchors</t>
        </is>
      </c>
      <c r="P30" s="33" t="inlineStr">
        <is>
          <t>IMPLEMENTED_VALIDATED_WITH_BASELINE_EXPLAINED_WARNINGS</t>
        </is>
      </c>
      <c r="Q30" s="33" t="inlineStr">
        <is>
          <t>Ready for human pre-commit review; retain deferred modelling notes.</t>
        </is>
      </c>
      <c r="R30" s="33" t="inlineStr">
        <is>
          <t>Full class-level definition, parent, confidence and later-axiom notes are in Class Review.</t>
        </is>
      </c>
    </row>
    <row r="31" ht="56" customHeight="1">
      <c r="A31" s="33" t="inlineStr">
        <is>
          <t>2 - EXTERNAL HANDOFF</t>
        </is>
      </c>
      <c r="B31" s="33" t="inlineStr">
        <is>
          <t>MKB-000168</t>
        </is>
      </c>
      <c r="C31" s="33" t="inlineStr">
        <is>
          <t>Information/specification</t>
        </is>
      </c>
      <c r="D31" s="33" t="inlineStr">
        <is>
          <t>product specification</t>
        </is>
      </c>
      <c r="E31" s="33" t="inlineStr">
        <is>
          <t>DEFER_TO_PMDCO</t>
        </is>
      </c>
      <c r="F31" s="33" t="inlineStr">
        <is>
          <t>PMDco</t>
        </is>
      </c>
      <c r="G31" s="33" t="n"/>
      <c r="H31" s="33" t="inlineStr">
        <is>
          <t>Candidate sibling of PMD_0060006 device specification and PMD_0060007 material specification under IAO directive information entity</t>
        </is>
      </c>
      <c r="I31" s="33" t="inlineStr">
        <is>
          <t>EXTERNAL_HANDOFF</t>
        </is>
      </c>
      <c r="J31" s="33" t="inlineStr">
        <is>
          <t>N/A — PMDco IRI pending</t>
        </is>
      </c>
      <c r="K31" s="33" t="inlineStr">
        <is>
          <t>EXTERNAL PROPOSAL ACCEPTED — definition and proposed parent are coherent; await PMDco issue #487. Do not mint a MatSus duplicate.</t>
        </is>
      </c>
      <c r="L31" s="33" t="inlineStr">
        <is>
          <t>No MatSus axiom. Proposed PMDco subclass of specification document.</t>
        </is>
      </c>
      <c r="M31" s="33" t="inlineStr">
        <is>
          <t>N/A</t>
        </is>
      </c>
      <c r="N31" s="33" t="inlineStr">
        <is>
          <t>N/A</t>
        </is>
      </c>
      <c r="O31" s="33" t="inlineStr">
        <is>
          <t>https://github.com/materialdigital/core-ontology/issues/487</t>
        </is>
      </c>
      <c r="P31" s="33" t="inlineStr">
        <is>
          <t>ISSUE_SUBMITTED</t>
        </is>
      </c>
      <c r="Q31" s="33" t="inlineStr">
        <is>
          <t>PMDco issue #487 submitted for product specification. Await the PMDco decision; do not mint a duplicate MatSus class.</t>
        </is>
      </c>
      <c r="R31" s="33" t="inlineStr">
        <is>
          <t>Full class-level definition, parent, confidence and later-axiom notes are in Class Review.</t>
        </is>
      </c>
    </row>
    <row r="32" ht="42" customHeight="1">
      <c r="A32" s="33" t="inlineStr">
        <is>
          <t>2 - EXTERNAL HANDOFF</t>
        </is>
      </c>
      <c r="B32" s="33" t="inlineStr">
        <is>
          <t>MKB-000217</t>
        </is>
      </c>
      <c r="C32" s="33" t="inlineStr">
        <is>
          <t>Process</t>
        </is>
      </c>
      <c r="D32" s="33" t="inlineStr">
        <is>
          <t>reverse logistics process</t>
        </is>
      </c>
      <c r="E32" s="33" t="inlineStr">
        <is>
          <t>DEFER_TO_LOG</t>
        </is>
      </c>
      <c r="F32" s="33" t="inlineStr">
        <is>
          <t>LOG</t>
        </is>
      </c>
      <c r="G32" s="33" t="n"/>
      <c r="H32" s="33" t="inlineStr">
        <is>
          <t>LOG logistics process (LOG_1000120)</t>
        </is>
      </c>
      <c r="I32" s="33" t="inlineStr">
        <is>
          <t>EXTERNAL_HANDOFF</t>
        </is>
      </c>
      <c r="J32" s="33" t="inlineStr">
        <is>
          <t>N/A — LOG IRI pending</t>
        </is>
      </c>
      <c r="K32" s="33" t="inlineStr">
        <is>
          <t>EXTERNAL PARENT ACCEPTED; DEFINITION DEFERRED — the corrected concept is reverse logistics process, but the final wording belongs in the LOG issue.</t>
        </is>
      </c>
      <c r="L32" s="33" t="inlineStr">
        <is>
          <t>No MatSus axiom and no local duplicate. Proposed LOG subclass of logistics process.</t>
        </is>
      </c>
      <c r="M32" s="33" t="inlineStr">
        <is>
          <t>N/A</t>
        </is>
      </c>
      <c r="N32" s="33" t="inlineStr">
        <is>
          <t>N/A</t>
        </is>
      </c>
      <c r="O32" s="33" t="inlineStr">
        <is>
          <t>LOG issue pending</t>
        </is>
      </c>
      <c r="P32" s="33" t="inlineStr">
        <is>
          <t>LOG_ISSUE_PENDING</t>
        </is>
      </c>
      <c r="Q32" s="33" t="inlineStr">
        <is>
          <t>Open the LOG reverse-logistics issue when the contribution route is known; include take-back/return-flow examples and cross-link MatSus. This does not block MatSus IR2.</t>
        </is>
      </c>
      <c r="R32" s="33" t="inlineStr">
        <is>
          <t>Full class-level definition, parent, confidence and later-axiom notes are in Class Review.</t>
        </is>
      </c>
    </row>
    <row r="33" ht="42" customHeight="1">
      <c r="A33" s="33" t="inlineStr">
        <is>
          <t>3 - DEFERRED</t>
        </is>
      </c>
      <c r="B33" s="33" t="inlineStr">
        <is>
          <t>MKB-000307</t>
        </is>
      </c>
      <c r="C33" s="33" t="inlineStr">
        <is>
          <t>Information/specification</t>
        </is>
      </c>
      <c r="D33" s="33" t="inlineStr">
        <is>
          <t>end-user guidance about separate collection</t>
        </is>
      </c>
      <c r="E33" s="33" t="inlineStr">
        <is>
          <t>DEFER_MODELLING_USE_CASE</t>
        </is>
      </c>
      <c r="F33" s="33" t="inlineStr">
        <is>
          <t>MatSus modelling pattern</t>
        </is>
      </c>
      <c r="G33" s="33" t="n"/>
      <c r="H33" s="33" t="inlineStr">
        <is>
          <t>Guidance ICE + end-user role + waste collection/separation process</t>
        </is>
      </c>
      <c r="I33" s="33" t="inlineStr">
        <is>
          <t>DEFERRED</t>
        </is>
      </c>
      <c r="J33" s="33" t="inlineStr">
        <is>
          <t>N/A — no MatSus class approved</t>
        </is>
      </c>
      <c r="K33" s="33" t="inlineStr">
        <is>
          <t>N/A — no local class approved.</t>
        </is>
      </c>
      <c r="L33" s="33" t="inlineStr">
        <is>
          <t>No MatSus axiom now.</t>
        </is>
      </c>
      <c r="M33" s="33" t="inlineStr">
        <is>
          <t>N/A</t>
        </is>
      </c>
      <c r="N33" s="33" t="inlineStr">
        <is>
          <t>N/A</t>
        </is>
      </c>
      <c r="O33" s="33" t="n"/>
      <c r="P33" s="33" t="inlineStr">
        <is>
          <t>DEFERRED</t>
        </is>
      </c>
      <c r="Q33" s="33" t="inlineStr">
        <is>
          <t>CQ: What guidance is supplied to which end-user role, about participation in which collection/separation process, for which waste battery? Model one instance before adding a class.</t>
        </is>
      </c>
      <c r="R33" s="33" t="inlineStr">
        <is>
          <t>Full class-level definition, parent, confidence and later-axiom notes are in Class Review.</t>
        </is>
      </c>
    </row>
    <row r="34" ht="42" customHeight="1">
      <c r="A34" s="33" t="inlineStr">
        <is>
          <t>3 - DEFERRED</t>
        </is>
      </c>
      <c r="B34" s="33" t="inlineStr">
        <is>
          <t>ADD-BAT-002</t>
        </is>
      </c>
      <c r="C34" s="33" t="inlineStr">
        <is>
          <t>Quality/data/pattern</t>
        </is>
      </c>
      <c r="D34" s="33" t="inlineStr">
        <is>
          <t>degradation pattern (no new generic class)</t>
        </is>
      </c>
      <c r="E34" s="33" t="inlineStr">
        <is>
          <t>DEFER_MODELLING_USE_CASE</t>
        </is>
      </c>
      <c r="F34" s="33" t="inlineStr">
        <is>
          <t>MatSus modelling pattern</t>
        </is>
      </c>
      <c r="G34" s="33" t="inlineStr">
        <is>
          <t>PMDco quality/process branches</t>
        </is>
      </c>
      <c r="H34" s="33" t="inlineStr">
        <is>
          <t>Existing PMDco quality + process + datum pattern</t>
        </is>
      </c>
      <c r="I34" s="33" t="inlineStr">
        <is>
          <t>DEFERRED</t>
        </is>
      </c>
      <c r="J34" s="33" t="inlineStr">
        <is>
          <t>N/A — no MatSus class approved</t>
        </is>
      </c>
      <c r="K34" s="33" t="inlineStr">
        <is>
          <t>N/A — no local class approved.</t>
        </is>
      </c>
      <c r="L34" s="33" t="inlineStr">
        <is>
          <t>No MatSus axiom now.</t>
        </is>
      </c>
      <c r="M34" s="33" t="inlineStr">
        <is>
          <t>N/A</t>
        </is>
      </c>
      <c r="N34" s="33" t="inlineStr">
        <is>
          <t>N/A</t>
        </is>
      </c>
      <c r="O34" s="33" t="n"/>
      <c r="P34" s="33" t="inlineStr">
        <is>
          <t>DEFERRED</t>
        </is>
      </c>
      <c r="Q34" s="33" t="inlineStr">
        <is>
          <t>CQ: For bearer B and quality Q, what changed between t1 and t2, by how much, and according to which method? Add a class only when one cross-domain query requires it.</t>
        </is>
      </c>
      <c r="R34" s="33" t="inlineStr">
        <is>
          <t>Full class-level definition, parent, confidence and later-axiom notes are in Class Review.</t>
        </is>
      </c>
    </row>
    <row r="35" ht="42" customHeight="1">
      <c r="A35" s="33" t="inlineStr">
        <is>
          <t>3 - DEFERRED</t>
        </is>
      </c>
      <c r="B35" s="33" t="inlineStr">
        <is>
          <t>ADD-BAT-003</t>
        </is>
      </c>
      <c r="C35" s="33" t="inlineStr">
        <is>
          <t>Quality/data/pattern</t>
        </is>
      </c>
      <c r="D35" s="33" t="inlineStr">
        <is>
          <t>remaining-capability pattern (no new generic class)</t>
        </is>
      </c>
      <c r="E35" s="33" t="inlineStr">
        <is>
          <t>DEFER_MODELLING_USE_CASE</t>
        </is>
      </c>
      <c r="F35" s="33" t="inlineStr">
        <is>
          <t>MatSus modelling pattern</t>
        </is>
      </c>
      <c r="G35" s="33" t="inlineStr">
        <is>
          <t>PMDco quality/value-specification branches</t>
        </is>
      </c>
      <c r="H35" s="33" t="inlineStr">
        <is>
          <t>Disposition/quality + value/unit/time/provenance</t>
        </is>
      </c>
      <c r="I35" s="33" t="inlineStr">
        <is>
          <t>DEFERRED</t>
        </is>
      </c>
      <c r="J35" s="33" t="inlineStr">
        <is>
          <t>N/A — no MatSus class approved</t>
        </is>
      </c>
      <c r="K35" s="33" t="inlineStr">
        <is>
          <t>N/A — no local class approved.</t>
        </is>
      </c>
      <c r="L35" s="33" t="inlineStr">
        <is>
          <t>No MatSus axiom now.</t>
        </is>
      </c>
      <c r="M35" s="33" t="inlineStr">
        <is>
          <t>N/A</t>
        </is>
      </c>
      <c r="N35" s="33" t="inlineStr">
        <is>
          <t>N/A</t>
        </is>
      </c>
      <c r="O35" s="33" t="n"/>
      <c r="P35" s="33" t="inlineStr">
        <is>
          <t>DEFERRED</t>
        </is>
      </c>
      <c r="Q35" s="33" t="inlineStr">
        <is>
          <t>CQ: Which capability remains in bearer B at time t, what value and unit quantify it, and which assay produced the value? Use a battery KPI example before minting.</t>
        </is>
      </c>
      <c r="R35" s="33" t="inlineStr">
        <is>
          <t>Full class-level definition, parent, confidence and later-axiom notes are in Class Review.</t>
        </is>
      </c>
    </row>
    <row r="36" ht="42" customHeight="1">
      <c r="A36" s="33" t="inlineStr">
        <is>
          <t>3 - DEFERRED</t>
        </is>
      </c>
      <c r="B36" s="33" t="inlineStr">
        <is>
          <t>MKB-000308</t>
        </is>
      </c>
      <c r="C36" s="33" t="inlineStr">
        <is>
          <t>Waste package</t>
        </is>
      </c>
      <c r="D36" s="33" t="inlineStr">
        <is>
          <t>end-user guidance about waste prevention</t>
        </is>
      </c>
      <c r="E36" s="33" t="inlineStr">
        <is>
          <t>DEFER_MODELLING_USE_CASE</t>
        </is>
      </c>
      <c r="F36" s="33" t="inlineStr">
        <is>
          <t>MatSus modelling pattern</t>
        </is>
      </c>
      <c r="G36" s="33" t="n"/>
      <c r="H36" s="33" t="inlineStr">
        <is>
          <t>Guidance ICE + end-user role + waste prevention process</t>
        </is>
      </c>
      <c r="I36" s="33" t="inlineStr">
        <is>
          <t>DEFERRED</t>
        </is>
      </c>
      <c r="J36" s="33" t="inlineStr">
        <is>
          <t>N/A — no MatSus class approved</t>
        </is>
      </c>
      <c r="K36" s="33" t="inlineStr">
        <is>
          <t>N/A — no local class approved.</t>
        </is>
      </c>
      <c r="L36" s="33" t="inlineStr">
        <is>
          <t>No MatSus axiom now.</t>
        </is>
      </c>
      <c r="M36" s="33" t="inlineStr">
        <is>
          <t>N/A</t>
        </is>
      </c>
      <c r="N36" s="33" t="inlineStr">
        <is>
          <t>N/A</t>
        </is>
      </c>
      <c r="O36" s="33" t="n"/>
      <c r="P36" s="33" t="inlineStr">
        <is>
          <t>DEFERRED</t>
        </is>
      </c>
      <c r="Q36" s="33" t="inlineStr">
        <is>
          <t>CQ: What guidance is supplied to which end-user role, about participation in which waste-prevention process, for which product? Model one instance before adding a class.</t>
        </is>
      </c>
      <c r="R36" s="33" t="inlineStr">
        <is>
          <t>Full class-level definition, parent, confidence and later-axiom notes are in Class Review.</t>
        </is>
      </c>
    </row>
    <row r="37" ht="58" customHeight="1">
      <c r="A37" s="33" t="inlineStr">
        <is>
          <t>1 - LOCAL IMPLEMENTATION</t>
        </is>
      </c>
      <c r="B37" s="33" t="inlineStr">
        <is>
          <t>POST-MKB1-MAT-001</t>
        </is>
      </c>
      <c r="C37" s="33" t="inlineStr">
        <is>
          <t>Material/role</t>
        </is>
      </c>
      <c r="D37" s="33" t="inlineStr">
        <is>
          <t>recovered material</t>
        </is>
      </c>
      <c r="E37" s="33" t="inlineStr">
        <is>
          <t>IMPLEMENT_LOCAL_MATSUS_TERM</t>
        </is>
      </c>
      <c r="F37" s="33" t="inlineStr">
        <is>
          <t>MatSus</t>
        </is>
      </c>
      <c r="G37" s="33" t="inlineStr">
        <is>
          <t>https://w3id.org/pmd/matsus/RecoveredMaterial</t>
        </is>
      </c>
      <c r="H37" s="33" t="inlineStr">
        <is>
          <t>PMDco material (PMD_0000000)</t>
        </is>
      </c>
      <c r="I37" s="33" t="inlineStr">
        <is>
          <t>POST_GATE_ACCEPTED</t>
        </is>
      </c>
      <c r="J37" s="33" t="inlineStr">
        <is>
          <t>https://w3id.org/pmd/matsus/MATSUS_0000001</t>
        </is>
      </c>
      <c r="K37" s="33" t="inlineStr">
        <is>
          <t>ACCEPT — material-recovery provenance is represented separately from the contextual waste role; recovered material is not a subclass of waste material.</t>
        </is>
      </c>
      <c r="L37" s="33" t="inlineStr">
        <is>
          <t>https://w3id.org/pmd/matsus/MATSUS_0000001 SubClassOf https://w3id.org/pmd/co/PMD_0000000.</t>
        </is>
      </c>
      <c r="M37" s="33" t="inlineStr">
        <is>
          <t>YES — PRESENT IN src/ontology/matsus-edit.owl</t>
        </is>
      </c>
      <c r="N37" s="33" t="inlineStr">
        <is>
          <t>PASS — ROBOT 1.9.2 syntax parse/convert; merged OWL 2 DL profile; ELK consistency; 5 repository SPARQL checks (0 violations). Quality report: 0 errors, 25 warnings. dicer-cli unavailable; IDs directly checked against 7-digit 0000000–0009999 policy.</t>
        </is>
      </c>
      <c r="O37" s="33" t="inlineStr">
        <is>
          <t>No unresolved parent/import dependency. Later: link the material to its recovery process/history.</t>
        </is>
      </c>
      <c r="P37" s="33" t="inlineStr">
        <is>
          <t>IMPLEMENTED_AND_VALIDATED_WITH_WARNINGS</t>
        </is>
      </c>
      <c r="Q37" s="33" t="inlineStr">
        <is>
          <t>Retain the recovery provenance/history relation for later axiomatization; add no disjointness or complement axiom.</t>
        </is>
      </c>
      <c r="R37" s="33" t="inlineStr">
        <is>
          <t>Final numeric IRI allocated under repository policy. PMDco material parent resolved in the current import closure.</t>
        </is>
      </c>
    </row>
    <row r="38" ht="58" customHeight="1">
      <c r="A38" s="33" t="inlineStr">
        <is>
          <t>1 - LOCAL IMPLEMENTATION</t>
        </is>
      </c>
      <c r="B38" s="33" t="inlineStr">
        <is>
          <t>MKB-000175</t>
        </is>
      </c>
      <c r="C38" s="33" t="inlineStr">
        <is>
          <t>Material/role</t>
        </is>
      </c>
      <c r="D38" s="33" t="inlineStr">
        <is>
          <t>recycled material</t>
        </is>
      </c>
      <c r="E38" s="33" t="inlineStr">
        <is>
          <t>IMPLEMENT_LOCAL_MATSUS_TERM</t>
        </is>
      </c>
      <c r="F38" s="33" t="inlineStr">
        <is>
          <t>MatSus</t>
        </is>
      </c>
      <c r="G38" s="33" t="inlineStr">
        <is>
          <t>https://w3id.org/pmd/matsus/RecycledMaterial</t>
        </is>
      </c>
      <c r="H38" s="33" t="inlineStr">
        <is>
          <t>MatSus recovered material</t>
        </is>
      </c>
      <c r="I38" s="33" t="inlineStr">
        <is>
          <t>POST_GATE_ACCEPTED</t>
        </is>
      </c>
      <c r="J38" s="33" t="inlineStr">
        <is>
          <t>https://w3id.org/pmd/matsus/MATSUS_0000002</t>
        </is>
      </c>
      <c r="K38" s="33" t="inlineStr">
        <is>
          <t>ACCEPT — process-history specialization of recovered material; it may overlap with secondary material.</t>
        </is>
      </c>
      <c r="L38" s="33" t="inlineStr">
        <is>
          <t>https://w3id.org/pmd/matsus/MATSUS_0000002 SubClassOf https://w3id.org/pmd/matsus/MATSUS_0000001.</t>
        </is>
      </c>
      <c r="M38" s="33" t="inlineStr">
        <is>
          <t>YES — PRESENT IN src/ontology/matsus-edit.owl</t>
        </is>
      </c>
      <c r="N38" s="33" t="inlineStr">
        <is>
          <t>PASS — ROBOT 1.9.2 syntax parse/convert; merged OWL 2 DL profile; ELK consistency; 5 repository SPARQL checks (0 violations). Quality report: 0 errors, 25 warnings. dicer-cli unavailable; IDs directly checked against 7-digit 0000000–0009999 policy.</t>
        </is>
      </c>
      <c r="O38" s="33" t="inlineStr">
        <is>
          <t>Recovered material dependency resolved as MATSUS_0000001. Later: link to the recycling process/history.</t>
        </is>
      </c>
      <c r="P38" s="33" t="inlineStr">
        <is>
          <t>IMPLEMENTED_AND_VALIDATED_WITH_WARNINGS</t>
        </is>
      </c>
      <c r="Q38" s="33" t="inlineStr">
        <is>
          <t>Retain the process/history relation for later axiomatization; do not assert disjointness from secondary material.</t>
        </is>
      </c>
      <c r="R38" s="33" t="inlineStr">
        <is>
          <t>Final numeric IRI allocated under repository policy. Recycled material and secondary material remain overlapping sibling categories.</t>
        </is>
      </c>
    </row>
    <row r="39" ht="58" customHeight="1">
      <c r="A39" s="33" t="inlineStr">
        <is>
          <t>1 - LOCAL IMPLEMENTATION</t>
        </is>
      </c>
      <c r="B39" s="33" t="inlineStr">
        <is>
          <t>MKB-000223</t>
        </is>
      </c>
      <c r="C39" s="33" t="inlineStr">
        <is>
          <t>Material/role</t>
        </is>
      </c>
      <c r="D39" s="33" t="inlineStr">
        <is>
          <t>secondary material</t>
        </is>
      </c>
      <c r="E39" s="33" t="inlineStr">
        <is>
          <t>IMPLEMENT_LOCAL_MATSUS_TERM</t>
        </is>
      </c>
      <c r="F39" s="33" t="inlineStr">
        <is>
          <t>MatSus</t>
        </is>
      </c>
      <c r="G39" s="33" t="inlineStr">
        <is>
          <t>https://w3id.org/pmd/matsus/SecondaryMaterial</t>
        </is>
      </c>
      <c r="H39" s="33" t="inlineStr">
        <is>
          <t>MatSus recovered material</t>
        </is>
      </c>
      <c r="I39" s="33" t="inlineStr">
        <is>
          <t>POST_GATE_ACCEPTED</t>
        </is>
      </c>
      <c r="J39" s="33" t="inlineStr">
        <is>
          <t>https://w3id.org/pmd/matsus/MATSUS_0000003</t>
        </is>
      </c>
      <c r="K39" s="33" t="inlineStr">
        <is>
          <t>ACCEPT — use/status specialization; sibling of recycled material and allowed to overlap it.</t>
        </is>
      </c>
      <c r="L39" s="33" t="inlineStr">
        <is>
          <t>https://w3id.org/pmd/matsus/MATSUS_0000003 SubClassOf https://w3id.org/pmd/matsus/MATSUS_0000001.</t>
        </is>
      </c>
      <c r="M39" s="33" t="inlineStr">
        <is>
          <t>YES — PRESENT IN src/ontology/matsus-edit.owl</t>
        </is>
      </c>
      <c r="N39" s="33" t="inlineStr">
        <is>
          <t>PASS — ROBOT 1.9.2 syntax parse/convert; merged OWL 2 DL profile; ELK consistency; 5 repository SPARQL checks (0 violations). Quality report: 0 errors, 25 warnings. dicer-cli unavailable; IDs directly checked against 7-digit 0000000–0009999 policy.</t>
        </is>
      </c>
      <c r="O39" s="33" t="inlineStr">
        <is>
          <t>Recovered material dependency resolved as MATSUS_0000001. Later: represent suitability or intended use when a stable relation pattern is selected.</t>
        </is>
      </c>
      <c r="P39" s="33" t="inlineStr">
        <is>
          <t>IMPLEMENTED_AND_VALIDATED_WITH_WARNINGS</t>
        </is>
      </c>
      <c r="Q39" s="33" t="inlineStr">
        <is>
          <t>Retain suitability/intended-use modelling for later axiomatization; do not assert disjointness from recycled material.</t>
        </is>
      </c>
      <c r="R39" s="33" t="inlineStr">
        <is>
          <t>Final numeric IRI allocated under repository policy. Secondary material remains a positive category, not a complement of virgin material.</t>
        </is>
      </c>
    </row>
    <row r="40" ht="58" customHeight="1">
      <c r="A40" s="33" t="inlineStr">
        <is>
          <t>1 - LOCAL IMPLEMENTATION</t>
        </is>
      </c>
      <c r="B40" s="33" t="inlineStr">
        <is>
          <t>POST-MKB1-ASS-001</t>
        </is>
      </c>
      <c r="C40" s="33" t="inlineStr">
        <is>
          <t>Assessment</t>
        </is>
      </c>
      <c r="D40" s="33" t="inlineStr">
        <is>
          <t>material sustainability assessment</t>
        </is>
      </c>
      <c r="E40" s="33" t="inlineStr">
        <is>
          <t>IMPLEMENT_LOCAL_MATSUS_TERM</t>
        </is>
      </c>
      <c r="F40" s="33" t="inlineStr">
        <is>
          <t>MatSus</t>
        </is>
      </c>
      <c r="G40" s="33" t="inlineStr">
        <is>
          <t>https://w3id.org/pmd/matsus/MaterialSustainabilityAssessment</t>
        </is>
      </c>
      <c r="H40" s="33" t="inlineStr">
        <is>
          <t>OBI assay (OBI_0000070)</t>
        </is>
      </c>
      <c r="I40" s="33" t="inlineStr">
        <is>
          <t>POST_GATE_ACCEPTED</t>
        </is>
      </c>
      <c r="J40" s="33" t="inlineStr">
        <is>
          <t>https://w3id.org/pmd/matsus/MATSUS_0000004</t>
        </is>
      </c>
      <c r="K40" s="33" t="inlineStr">
        <is>
          <t>ACCEPT PROVISIONALLY — a thin MatSus assessment umbrella is justified, but it must be reconciled with the dedicated assessment batch.</t>
        </is>
      </c>
      <c r="L40" s="33" t="inlineStr">
        <is>
          <t>https://w3id.org/pmd/matsus/MATSUS_0000004 SubClassOf http://purl.obolibrary.org/obo/OBI_0000070.</t>
        </is>
      </c>
      <c r="M40" s="33" t="inlineStr">
        <is>
          <t>YES — PRESENT IN src/ontology/matsus-edit.owl</t>
        </is>
      </c>
      <c r="N40" s="33" t="inlineStr">
        <is>
          <t>PASS — ROBOT 1.9.2 syntax parse/convert; merged OWL 2 DL profile; ELK consistency; 5 repository SPARQL checks (0 violations). Quality report: 0 errors, 25 warnings. dicer-cli unavailable; IDs directly checked against 7-digit 0000000–0009999 policy.</t>
        </is>
      </c>
      <c r="O40" s="33" t="inlineStr">
        <is>
          <t>SRC-007 / SRC-009 / CLEO — Batch 2 scope reconciliation remains a later action; no missing parent/import dependency.</t>
        </is>
      </c>
      <c r="P40" s="33" t="inlineStr">
        <is>
          <t>PROVISIONALLY_IMPLEMENTED_AND_VALIDATED_WITH_WARNINGS</t>
        </is>
      </c>
      <c r="Q40" s="33" t="inlineStr">
        <is>
          <t>Reconcile the umbrella scope in Batch 2; add no further logical restrictions now.</t>
        </is>
      </c>
      <c r="R40" s="33" t="inlineStr">
        <is>
          <t>Final numeric IRI allocated under repository policy. OBI assay parent resolved in the current import closure.</t>
        </is>
      </c>
    </row>
    <row r="41" ht="58" customHeight="1">
      <c r="A41" s="33" t="inlineStr">
        <is>
          <t>1 - LOCAL IMPLEMENTATION</t>
        </is>
      </c>
      <c r="B41" s="33" t="inlineStr">
        <is>
          <t>MKB-000180-ASS</t>
        </is>
      </c>
      <c r="C41" s="33" t="inlineStr">
        <is>
          <t>Assessment</t>
        </is>
      </c>
      <c r="D41" s="33" t="inlineStr">
        <is>
          <t>resource-input reduction assessment</t>
        </is>
      </c>
      <c r="E41" s="33" t="inlineStr">
        <is>
          <t>IMPLEMENT_LOCAL_MATSUS_TERM</t>
        </is>
      </c>
      <c r="F41" s="33" t="inlineStr">
        <is>
          <t>MatSus</t>
        </is>
      </c>
      <c r="G41" s="33" t="inlineStr">
        <is>
          <t>https://w3id.org/pmd/matsus/ResourceInputReductionAssessment</t>
        </is>
      </c>
      <c r="H41" s="33" t="inlineStr">
        <is>
          <t>MatSus material sustainability assessment</t>
        </is>
      </c>
      <c r="I41" s="33" t="inlineStr">
        <is>
          <t>POST_GATE_ACCEPTED</t>
        </is>
      </c>
      <c r="J41" s="33" t="inlineStr">
        <is>
          <t>https://w3id.org/pmd/matsus/MATSUS_0000005</t>
        </is>
      </c>
      <c r="K41" s="33" t="inlineStr">
        <is>
          <t>ACCEPT — this is the evidential assessment counterpart of the reduction process and objective specification.</t>
        </is>
      </c>
      <c r="L41" s="33" t="inlineStr">
        <is>
          <t>https://w3id.org/pmd/matsus/MATSUS_0000005 SubClassOf https://w3id.org/pmd/matsus/MATSUS_0000004.</t>
        </is>
      </c>
      <c r="M41" s="33" t="inlineStr">
        <is>
          <t>YES — PRESENT IN src/ontology/matsus-edit.owl</t>
        </is>
      </c>
      <c r="N41" s="33" t="inlineStr">
        <is>
          <t>PASS — ROBOT 1.9.2 syntax parse/convert; merged OWL 2 DL profile; ELK consistency; 5 repository SPARQL checks (0 violations). Quality report: 0 errors, 25 warnings. dicer-cli unavailable; IDs directly checked against 7-digit 0000000–0009999 policy.</t>
        </is>
      </c>
      <c r="O41" s="33" t="inlineStr">
        <is>
          <t>Material sustainability assessment dependency resolved as MATSUS_0000004. Later: model the evaluated process/system, baseline, comparison conditions and output datum.</t>
        </is>
      </c>
      <c r="P41" s="33" t="inlineStr">
        <is>
          <t>IMPLEMENTED_AND_VALIDATED_WITH_WARNINGS</t>
        </is>
      </c>
      <c r="Q41" s="33" t="inlineStr">
        <is>
          <t>Keep assessment distinct from the process and objective specification; defer the remaining relations.</t>
        </is>
      </c>
      <c r="R41" s="33" t="inlineStr">
        <is>
          <t>Final numeric IRI allocated under repository policy; local parent is present in the same batch.</t>
        </is>
      </c>
    </row>
    <row r="42" ht="58" customHeight="1">
      <c r="A42" s="33" t="inlineStr">
        <is>
          <t>1 - LOCAL IMPLEMENTATION</t>
        </is>
      </c>
      <c r="B42" s="33" t="inlineStr">
        <is>
          <t>MKB-000180-OBJ</t>
        </is>
      </c>
      <c r="C42" s="33" t="inlineStr">
        <is>
          <t>Information/specification</t>
        </is>
      </c>
      <c r="D42" s="33" t="inlineStr">
        <is>
          <t>resource-input reduction objective specification</t>
        </is>
      </c>
      <c r="E42" s="33" t="inlineStr">
        <is>
          <t>IMPLEMENT_LOCAL_MATSUS_TERM</t>
        </is>
      </c>
      <c r="F42" s="33" t="inlineStr">
        <is>
          <t>MatSus</t>
        </is>
      </c>
      <c r="G42" s="33" t="inlineStr">
        <is>
          <t>https://w3id.org/pmd/matsus/ResourceInputReductionObjectiveSpecification</t>
        </is>
      </c>
      <c r="H42" s="33" t="inlineStr">
        <is>
          <t>IAO objective specification (IAO_0000005)</t>
        </is>
      </c>
      <c r="I42" s="33" t="inlineStr">
        <is>
          <t>POST_GATE_ACCEPTED</t>
        </is>
      </c>
      <c r="J42" s="33" t="inlineStr">
        <is>
          <t>https://w3id.org/pmd/matsus/MATSUS_0000006</t>
        </is>
      </c>
      <c r="K42" s="33" t="inlineStr">
        <is>
          <t>ACCEPT — this represents the intended reduction target; no separate resource-input reduction strategy specification is required.</t>
        </is>
      </c>
      <c r="L42" s="33" t="inlineStr">
        <is>
          <t>https://w3id.org/pmd/matsus/MATSUS_0000006 SubClassOf http://purl.obolibrary.org/obo/IAO_0000005.</t>
        </is>
      </c>
      <c r="M42" s="33" t="inlineStr">
        <is>
          <t>YES — PRESENT IN src/ontology/matsus-edit.owl</t>
        </is>
      </c>
      <c r="N42" s="33" t="inlineStr">
        <is>
          <t>PASS — ROBOT 1.9.2 syntax parse/convert; merged OWL 2 DL profile; ELK consistency; 5 repository SPARQL checks (0 violations). Quality report: 0 errors, 25 warnings. dicer-cli unavailable; IDs directly checked against 7-digit 0000000–0009999 policy.</t>
        </is>
      </c>
      <c r="O42" s="33" t="inlineStr">
        <is>
          <t>No unresolved parent/import dependency. Later: relate the target process/system, baseline, reduction amount and unit.</t>
        </is>
      </c>
      <c r="P42" s="33" t="inlineStr">
        <is>
          <t>IMPLEMENTED_AND_VALIDATED_WITH_WARNINGS</t>
        </is>
      </c>
      <c r="Q42" s="33" t="inlineStr">
        <is>
          <t>Keep the example as editorial guidance; do not add a resource-input reduction strategy specification.</t>
        </is>
      </c>
      <c r="R42" s="33" t="inlineStr">
        <is>
          <t>Final numeric IRI allocated under repository policy. IAO objective specification parent resolved in the current import closure.</t>
        </is>
      </c>
    </row>
    <row r="43" ht="58" customHeight="1">
      <c r="A43" s="33" t="inlineStr">
        <is>
          <t>1 - LOCAL IMPLEMENTATION</t>
        </is>
      </c>
      <c r="B43" s="33" t="inlineStr">
        <is>
          <t>Human-gate refinement from MKB-000184 review</t>
        </is>
      </c>
      <c r="C43" s="33" t="inlineStr">
        <is>
          <t>Information/specification</t>
        </is>
      </c>
      <c r="D43" s="33" t="inlineStr">
        <is>
          <t>refusal strategy specification</t>
        </is>
      </c>
      <c r="E43" s="33" t="inlineStr">
        <is>
          <t>HUMAN_GATE_MODELLING_REFINEMENT</t>
        </is>
      </c>
      <c r="F43" s="33" t="inlineStr">
        <is>
          <t>MatSus</t>
        </is>
      </c>
      <c r="G43" s="33" t="inlineStr">
        <is>
          <t>https://w3id.org/pmd/matsus/RefusalStrategySpecification</t>
        </is>
      </c>
      <c r="H43" s="33" t="inlineStr">
        <is>
          <t>IAO plan specification (IAO_0000104)</t>
        </is>
      </c>
      <c r="I43" s="33" t="inlineStr">
        <is>
          <t>HUMAN_GATE_ADDITION</t>
        </is>
      </c>
      <c r="J43" s="33" t="inlineStr">
        <is>
          <t>https://w3id.org/pmd/matsus/MATSUS_0000039</t>
        </is>
      </c>
      <c r="K43" s="33" t="inlineStr">
        <is>
          <t>RefusalStrategySpecification: ACCEPT ? implemented as a plan specification distinct from the actual refusal occurrence.</t>
        </is>
      </c>
      <c r="L43" s="33" t="inlineStr">
        <is>
          <t>MATSUS_0000039 SubClassOf IAO_0000104. No logical relation to MATSUS_0000035 in Batch 3.</t>
        </is>
      </c>
      <c r="M43" s="33" t="inlineStr">
        <is>
          <t>YES - MKB1 IR2 BATCH 3</t>
        </is>
      </c>
      <c r="N43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  <c r="O43" s="33" t="n"/>
      <c r="P43" s="33" t="inlineStr">
        <is>
          <t>IMPLEMENTED_VALIDATED_WITH_BASELINE_EXPLAINED_WARNINGS</t>
        </is>
      </c>
      <c r="Q43" s="33" t="inlineStr">
        <is>
          <t>Ready for human pre-commit review; all process/specification and objective relations remain deferred.</t>
        </is>
      </c>
      <c r="R43" s="33" t="inlineStr">
        <is>
          <t>Additional human-gate modelling refinement derived from the MKB-000184 review; not a seventeenth original source candidate. Full record is in Class Review row 47.</t>
        </is>
      </c>
    </row>
  </sheetData>
  <conditionalFormatting sqref="K2:K36">
    <cfRule type="containsText" priority="1" operator="containsText" dxfId="2" text="REVISE"/>
    <cfRule type="containsText" priority="2" operator="containsText" dxfId="1" text="PROVISIONALLY"/>
    <cfRule type="containsText" priority="3" operator="containsText" dxfId="0" text="ACCEPT"/>
  </conditionalFormatting>
  <dataValidations count="3">
    <dataValidation sqref="M2:M36" showDropDown="0" showInputMessage="0" showErrorMessage="0" allowBlank="0" type="list">
      <formula1>"NO - DRAFT ONLY,IN PROGRESS,YES,N/A"</formula1>
    </dataValidation>
    <dataValidation sqref="N2:N36" showDropDown="0" showInputMessage="0" showErrorMessage="0" allowBlank="0" type="list">
      <formula1>"FULL BUILD TODO,IN PROGRESS,FULL BUILD PASSED,N/A"</formula1>
    </dataValidation>
    <dataValidation sqref="P2:P36" showDropDown="0" showInputMessage="0" showErrorMessage="0" allowBlank="0" type="list">
      <formula1>"DRAFT_READY_FOR_IR2,DRAFT_READY_ISSUE_SUBMITTED,PROVISIONAL_DRAFT_READY,PARTIAL_DRAFT_READY,IN_PROGRESS,DONE,ISSUE_SUBMITTED,LOG_ISSUE_PENDING,DEFERRED"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7"/>
  <sheetViews>
    <sheetView showGridLines="0" workbookViewId="0">
      <selection activeCell="A1" sqref="A1"/>
    </sheetView>
  </sheetViews>
  <sheetFormatPr baseColWidth="8" defaultRowHeight="14"/>
  <cols>
    <col width="28" customWidth="1" min="1" max="1"/>
    <col width="25" customWidth="1" min="2" max="2"/>
    <col width="26.83203125" customWidth="1" min="3" max="3"/>
    <col width="48" customWidth="1" min="4" max="4"/>
    <col width="78" customWidth="1" min="5" max="5"/>
    <col width="32.5" customWidth="1" min="6" max="6"/>
    <col width="78" customWidth="1" min="7" max="7"/>
    <col width="13" customWidth="1" min="8" max="8"/>
    <col width="64" customWidth="1" min="9" max="9"/>
    <col width="70" customWidth="1" min="10" max="10"/>
    <col width="58" customWidth="1" min="11" max="11"/>
    <col width="34" customWidth="1" min="12" max="12"/>
    <col width="48.4140625" customWidth="1" min="13" max="13"/>
    <col width="32.58203125" customWidth="1" min="14" max="14"/>
    <col width="62" customWidth="1" min="15" max="15"/>
    <col width="54" customWidth="1" min="16" max="16"/>
    <col width="32" customWidth="1" min="17" max="17"/>
  </cols>
  <sheetData>
    <row r="1">
      <c r="A1" s="37" t="inlineStr">
        <is>
          <t>MKB ID(s)</t>
        </is>
      </c>
      <c r="B1" s="38" t="inlineStr">
        <is>
          <t>Ontology target</t>
        </is>
      </c>
      <c r="C1" s="38" t="inlineStr">
        <is>
          <t>Class label</t>
        </is>
      </c>
      <c r="D1" s="38" t="inlineStr">
        <is>
          <t>Recommended final IRI</t>
        </is>
      </c>
      <c r="E1" s="38" t="inlineStr">
        <is>
          <t>Draft/proposed definition</t>
        </is>
      </c>
      <c r="F1" s="38" t="inlineStr">
        <is>
          <t>Asserted/proposed parent</t>
        </is>
      </c>
      <c r="G1" s="38" t="inlineStr">
        <is>
          <t>Codex assessment</t>
        </is>
      </c>
      <c r="H1" s="38" t="inlineStr">
        <is>
          <t>Confidence</t>
        </is>
      </c>
      <c r="I1" s="38" t="inlineStr">
        <is>
          <t>Confirmed axiom(s) now</t>
        </is>
      </c>
      <c r="J1" s="38" t="inlineStr">
        <is>
          <t>Later axiomatization note</t>
        </is>
      </c>
      <c r="K1" s="38" t="inlineStr">
        <is>
          <t>Issue / dependency</t>
        </is>
      </c>
      <c r="L1" s="39" t="inlineStr">
        <is>
          <t>Implementation status</t>
        </is>
      </c>
      <c r="M1" s="41" t="inlineStr">
        <is>
          <t>Human decision / comment</t>
        </is>
      </c>
      <c r="N1" s="41" t="inlineStr">
        <is>
          <t>Editorial note</t>
        </is>
      </c>
      <c r="O1" s="41" t="inlineStr">
        <is>
          <t>Source / provenance</t>
        </is>
      </c>
      <c r="P1" s="41" t="inlineStr">
        <is>
          <t>integrationMethod</t>
        </is>
      </c>
      <c r="Q1" s="41" t="inlineStr">
        <is>
          <t>Validation status</t>
        </is>
      </c>
    </row>
    <row r="2" ht="28" customHeight="1">
      <c r="A2" s="33" t="inlineStr">
        <is>
          <t>Supporting waste anchor</t>
        </is>
      </c>
      <c r="B2" s="33" t="inlineStr">
        <is>
          <t>MatSus provisional; PMDco candidate</t>
        </is>
      </c>
      <c r="C2" s="33" t="inlineStr">
        <is>
          <t>waste role</t>
        </is>
      </c>
      <c r="D2" s="33" t="inlineStr">
        <is>
          <t>https://w3id.org/pmd/matsus/MATSUS_0000007</t>
        </is>
      </c>
      <c r="E2" s="33" t="inlineStr">
        <is>
          <t>A role borne by a material entity when its holder discards it, intends to discard it, or is required to discard it.</t>
        </is>
      </c>
      <c r="F2" s="33" t="inlineStr">
        <is>
          <t>BFO role (http://purl.obolibrary.org/obo/BFO_0000023)</t>
        </is>
      </c>
      <c r="G2" s="33" t="inlineStr">
        <is>
          <t>ACCEPT PROVISIONALLY — strong contextual role pattern; replace/map only if PMDco issue #485 supplies the upstream anchor.</t>
        </is>
      </c>
      <c r="H2" s="33" t="inlineStr">
        <is>
          <t>HIGH</t>
        </is>
      </c>
      <c r="I2" s="33" t="inlineStr">
        <is>
          <t>MATSUS_0000007 SubClassOf BFO_0000023.</t>
        </is>
      </c>
      <c r="J2" s="33" t="inlineStr">
        <is>
          <t>Later: decide realization/context relations and the future PMDco mapping.</t>
        </is>
      </c>
      <c r="K2" s="33" t="inlineStr">
        <is>
          <t>https://github.com/materialdigital/core-ontology/issues/485</t>
        </is>
      </c>
      <c r="L2" s="33" t="inlineStr">
        <is>
          <t>IMPLEMENTED IN MATSUS-EDIT (MKB1 IR2 BATCH 2)</t>
        </is>
      </c>
      <c r="M2" s="33" t="n"/>
      <c r="N2" s="33" t="inlineStr">
        <is>
          <t>Waste status is contextual and role-based, not an intrinsic material kind. Later PMDco acceptance triggers migration or reconciliation, not deletion.</t>
        </is>
      </c>
      <c r="O2" s="33" t="inlineStr">
        <is>
          <t>Class Review row 2; human-gate Closure; PMDco issue #485.</t>
        </is>
      </c>
      <c r="P2" s="33" t="inlineStr">
        <is>
          <t>new MatSus subclass of BFO role</t>
        </is>
      </c>
      <c r="Q2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3" ht="28" customHeight="1">
      <c r="A3" s="33" t="inlineStr">
        <is>
          <t>Supporting waste anchor</t>
        </is>
      </c>
      <c r="B3" s="33" t="inlineStr">
        <is>
          <t>MatSus provisional; PMDco candidate</t>
        </is>
      </c>
      <c r="C3" s="33" t="inlineStr">
        <is>
          <t>waste material</t>
        </is>
      </c>
      <c r="D3" s="33" t="inlineStr">
        <is>
          <t>https://w3id.org/pmd/matsus/MATSUS_0000008</t>
        </is>
      </c>
      <c r="E3" s="33" t="inlineStr">
        <is>
          <t>A material that bears a waste role.</t>
        </is>
      </c>
      <c r="F3" s="33" t="inlineStr">
        <is>
          <t>PMDco material (https://w3id.org/pmd/co/PMD_0000000)</t>
        </is>
      </c>
      <c r="G3" s="33" t="inlineStr">
        <is>
          <t>ACCEPT PROVISIONALLY — the material-plus-role pattern is sound and supports the requested waste taxonomy.</t>
        </is>
      </c>
      <c r="H3" s="33" t="inlineStr">
        <is>
          <t>HIGH</t>
        </is>
      </c>
      <c r="I3" s="33" t="inlineStr">
        <is>
          <t>MATSUS_0000008 SubClassOf PMD_0000000; MATSUS_0000008 SubClassOf RO_0000087 some MATSUS_0000007.</t>
        </is>
      </c>
      <c r="J3" s="33" t="inlineStr">
        <is>
          <t>Later: decide necessary-only versus equivalence and select a temporal/context model.</t>
        </is>
      </c>
      <c r="K3" s="33" t="inlineStr">
        <is>
          <t>https://github.com/materialdigital/core-ontology/issues/485</t>
        </is>
      </c>
      <c r="L3" s="33" t="inlineStr">
        <is>
          <t>IMPLEMENTED IN MATSUS-EDIT (MKB1 IR2 BATCH 2)</t>
        </is>
      </c>
      <c r="M3" s="33" t="n"/>
      <c r="N3" s="33" t="inlineStr">
        <is>
          <t>Use 'waste' as an alternative label. RO_0000087 has the standard label 'has role'. Do not make recovered material a subclass of waste material. No equivalence axiom.</t>
        </is>
      </c>
      <c r="O3" s="33" t="inlineStr">
        <is>
          <t>Class Review row 3; human-gate Closure; PMDco issue #485.</t>
        </is>
      </c>
      <c r="P3" s="33" t="inlineStr">
        <is>
          <t>new MatSus subclass of PMDco material with a necessary waste-role restriction</t>
        </is>
      </c>
      <c r="Q3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4" ht="28" customHeight="1">
      <c r="A4" s="33" t="inlineStr">
        <is>
          <t>MKB-000063</t>
        </is>
      </c>
      <c r="B4" s="33" t="inlineStr">
        <is>
          <t>MatSus</t>
        </is>
      </c>
      <c r="C4" s="33" t="inlineStr">
        <is>
          <t>construction and demolition waste</t>
        </is>
      </c>
      <c r="D4" s="33" t="inlineStr">
        <is>
          <t>https://w3id.org/pmd/matsus/MATSUS_0000009</t>
        </is>
      </c>
      <c r="E4" s="33" t="inlineStr">
        <is>
          <t>A waste material that arises from construction or demolition activities.</t>
        </is>
      </c>
      <c r="F4" s="33" t="inlineStr">
        <is>
          <t>MatSus waste material (https://w3id.org/pmd/matsus/MATSUS_0000008)</t>
        </is>
      </c>
      <c r="G4" s="33" t="inlineStr">
        <is>
          <t>ACCEPT — clear waste subtype under the provisional waste-material anchor.</t>
        </is>
      </c>
      <c r="H4" s="33" t="inlineStr">
        <is>
          <t>HIGH</t>
        </is>
      </c>
      <c r="I4" s="33" t="inlineStr">
        <is>
          <t>MATSUS_0000009 SubClassOf MATSUS_0000008.</t>
        </is>
      </c>
      <c r="J4" s="33" t="inlineStr">
        <is>
          <t>Later: add source/provenance criteria only if data integration requires them.</t>
        </is>
      </c>
      <c r="K4" s="33" t="inlineStr">
        <is>
          <t>https://github.com/materialdigital/core-ontology/issues/485</t>
        </is>
      </c>
      <c r="L4" s="33" t="inlineStr">
        <is>
          <t>IMPLEMENTED IN MATSUS-EDIT (MKB1 IR2 BATCH 2)</t>
        </is>
      </c>
      <c r="M4" s="33" t="n"/>
      <c r="N4" s="33" t="inlineStr">
        <is>
          <t>Retain this local subtype after any upstream anchor migration.</t>
        </is>
      </c>
      <c r="O4" s="33" t="inlineStr">
        <is>
          <t>MKB-000063; SRC-001 Circular Berlin; Master Analysis row 52.</t>
        </is>
      </c>
      <c r="P4" s="33" t="inlineStr">
        <is>
          <t>new MatSus subclass of waste material</t>
        </is>
      </c>
      <c r="Q4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5" ht="28" customHeight="1">
      <c r="A5" s="33" t="inlineStr">
        <is>
          <t>MKB-000144</t>
        </is>
      </c>
      <c r="B5" s="33" t="inlineStr">
        <is>
          <t>MatSus</t>
        </is>
      </c>
      <c r="C5" s="33" t="inlineStr">
        <is>
          <t>mineral waste</t>
        </is>
      </c>
      <c r="D5" s="33" t="inlineStr">
        <is>
          <t>https://w3id.org/pmd/matsus/MATSUS_0000010</t>
        </is>
      </c>
      <c r="E5" s="33" t="inlineStr">
        <is>
          <t>A waste material composed predominantly of mineral matter.</t>
        </is>
      </c>
      <c r="F5" s="33" t="inlineStr">
        <is>
          <t>MatSus waste material (https://w3id.org/pmd/matsus/MATSUS_0000008)</t>
        </is>
      </c>
      <c r="G5" s="33" t="inlineStr">
        <is>
          <t>ACCEPT PROVISIONALLY — parent is correct; retain the source scope because ‘predominantly mineral’ may require a threshold or classification rule.</t>
        </is>
      </c>
      <c r="H5" s="33" t="inlineStr">
        <is>
          <t>MEDIUM</t>
        </is>
      </c>
      <c r="I5" s="33" t="inlineStr">
        <is>
          <t>MATSUS_0000010 SubClassOf MATSUS_0000008.</t>
        </is>
      </c>
      <c r="J5" s="33" t="inlineStr">
        <is>
          <t>Later: represent thresholds through data or a classification specification.</t>
        </is>
      </c>
      <c r="K5" s="33" t="inlineStr">
        <is>
          <t>https://github.com/materialdigital/core-ontology/issues/485</t>
        </is>
      </c>
      <c r="L5" s="33" t="inlineStr">
        <is>
          <t>IMPLEMENTED IN MATSUS-EDIT (MKB1 IR2 BATCH 2)</t>
        </is>
      </c>
      <c r="M5" s="33" t="n"/>
      <c r="N5" s="33" t="inlineStr">
        <is>
          <t>Predominantly is intentionally not assigned an OWL cutoff.</t>
        </is>
      </c>
      <c r="O5" s="33" t="inlineStr">
        <is>
          <t>MKB-000144; SRC-003 European Environment Agency; Master Analysis row 69.</t>
        </is>
      </c>
      <c r="P5" s="33" t="inlineStr">
        <is>
          <t>new MatSus subclass of waste material</t>
        </is>
      </c>
      <c r="Q5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6" ht="28" customHeight="1">
      <c r="A6" s="33" t="inlineStr">
        <is>
          <t>MKB-000148</t>
        </is>
      </c>
      <c r="B6" s="33" t="inlineStr">
        <is>
          <t>MatSus</t>
        </is>
      </c>
      <c r="C6" s="33" t="inlineStr">
        <is>
          <t>municipal waste</t>
        </is>
      </c>
      <c r="D6" s="33" t="inlineStr">
        <is>
          <t>https://w3id.org/pmd/matsus/MATSUS_0000011</t>
        </is>
      </c>
      <c r="E6" s="33" t="inlineStr">
        <is>
          <t>A waste material collected from households or a waste material from another source that is similar in nature and composition to household waste.</t>
        </is>
      </c>
      <c r="F6" s="33" t="inlineStr">
        <is>
          <t>MatSus waste material (https://w3id.org/pmd/matsus/MATSUS_0000008)</t>
        </is>
      </c>
      <c r="G6" s="33" t="inlineStr">
        <is>
          <t>ACCEPT — definition and parent match the intended household/similar-source scope.</t>
        </is>
      </c>
      <c r="H6" s="33" t="inlineStr">
        <is>
          <t>HIGH</t>
        </is>
      </c>
      <c r="I6" s="33" t="inlineStr">
        <is>
          <t>MATSUS_0000011 SubClassOf MATSUS_0000008.</t>
        </is>
      </c>
      <c r="J6" s="33" t="inlineStr">
        <is>
          <t>Later: assert equivalence only if municipal-waste and municipal-solid-waste scopes are confirmed identical.</t>
        </is>
      </c>
      <c r="K6" s="33" t="inlineStr">
        <is>
          <t>https://github.com/materialdigital/core-ontology/issues/485</t>
        </is>
      </c>
      <c r="L6" s="33" t="inlineStr">
        <is>
          <t>IMPLEMENTED IN MATSUS-EDIT (MKB1 IR2 BATCH 2)</t>
        </is>
      </c>
      <c r="M6" s="33" t="n"/>
      <c r="N6" s="33" t="inlineStr">
        <is>
          <t>Municipal solid waste is an alternative label, not an equivalent class.</t>
        </is>
      </c>
      <c r="O6" s="33" t="inlineStr">
        <is>
          <t>MKB-000148; SRC-003 European Environment Agency; Master Analysis row 71.</t>
        </is>
      </c>
      <c r="P6" s="33" t="inlineStr">
        <is>
          <t>new MatSus subclass of waste material</t>
        </is>
      </c>
      <c r="Q6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7" ht="28" customHeight="1">
      <c r="A7" s="33" t="inlineStr">
        <is>
          <t>MKB-000155</t>
        </is>
      </c>
      <c r="B7" s="33" t="inlineStr">
        <is>
          <t>MatSus</t>
        </is>
      </c>
      <c r="C7" s="33" t="inlineStr">
        <is>
          <t>packaging waste</t>
        </is>
      </c>
      <c r="D7" s="33" t="inlineStr">
        <is>
          <t>https://w3id.org/pmd/matsus/MATSUS_0000012</t>
        </is>
      </c>
      <c r="E7" s="33" t="inlineStr">
        <is>
          <t>A waste material that was packaging or packaging material before it acquired a waste role.</t>
        </is>
      </c>
      <c r="F7" s="33" t="inlineStr">
        <is>
          <t>MatSus waste material (https://w3id.org/pmd/matsus/MATSUS_0000008)</t>
        </is>
      </c>
      <c r="G7" s="33" t="inlineStr">
        <is>
          <t xml:space="preserve">ACCEPT </t>
        </is>
      </c>
      <c r="H7" s="33" t="inlineStr">
        <is>
          <t>MEDIUM</t>
        </is>
      </c>
      <c r="I7" s="33" t="inlineStr">
        <is>
          <t>MATSUS_0000012 SubClassOf MATSUS_0000008.</t>
        </is>
      </c>
      <c r="J7" s="33" t="inlineStr">
        <is>
          <t>Later: represent former packaging status and the production-residue exclusion only with a validated pattern.</t>
        </is>
      </c>
      <c r="K7" s="33" t="inlineStr">
        <is>
          <t>https://github.com/materialdigital/core-ontology/issues/485</t>
        </is>
      </c>
      <c r="L7" s="33" t="inlineStr">
        <is>
          <t>IMPLEMENTED IN MATSUS-EDIT (MKB1 IR2 BATCH 2)</t>
        </is>
      </c>
      <c r="M7" s="33" t="n"/>
      <c r="N7" s="33" t="inlineStr">
        <is>
          <t>The selected source scope excludes production residues.</t>
        </is>
      </c>
      <c r="O7" s="33" t="inlineStr">
        <is>
          <t>MKB-000155; SRC-003 European Environment Agency; Master Analysis row 74; TransformON exact-label evidence was insufficient for reuse.</t>
        </is>
      </c>
      <c r="P7" s="33" t="inlineStr">
        <is>
          <t>new MatSus subclass of waste material</t>
        </is>
      </c>
      <c r="Q7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8" ht="28" customHeight="1">
      <c r="A8" s="33" t="inlineStr">
        <is>
          <t>MKB-000249</t>
        </is>
      </c>
      <c r="B8" s="33" t="inlineStr">
        <is>
          <t>MatSus</t>
        </is>
      </c>
      <c r="C8" s="33" t="inlineStr">
        <is>
          <t>textile waste</t>
        </is>
      </c>
      <c r="D8" s="33" t="inlineStr">
        <is>
          <t>https://w3id.org/pmd/matsus/MATSUS_0000013</t>
        </is>
      </c>
      <c r="E8" s="33" t="inlineStr">
        <is>
          <t>A waste material composed predominantly of textile material or discarded textile products.</t>
        </is>
      </c>
      <c r="F8" s="33" t="inlineStr">
        <is>
          <t>MatSus waste material (https://w3id.org/pmd/matsus/MATSUS_0000008)</t>
        </is>
      </c>
      <c r="G8" s="33" t="inlineStr">
        <is>
          <t>ACCEPT PROVISIONALLY — usable broad subtype; keep source-specific textile composition/product criteria outside the core definition for now.</t>
        </is>
      </c>
      <c r="H8" s="33" t="inlineStr">
        <is>
          <t>MEDIUM</t>
        </is>
      </c>
      <c r="I8" s="33" t="inlineStr">
        <is>
          <t>MATSUS_0000013 SubClassOf MATSUS_0000008.</t>
        </is>
      </c>
      <c r="J8" s="33" t="inlineStr">
        <is>
          <t>Later: add fibre, composition, or product-type refinements only from concrete use cases.</t>
        </is>
      </c>
      <c r="K8" s="33" t="inlineStr">
        <is>
          <t>https://github.com/materialdigital/core-ontology/issues/485</t>
        </is>
      </c>
      <c r="L8" s="33" t="inlineStr">
        <is>
          <t>IMPLEMENTED IN MATSUS-EDIT (MKB1 IR2 BATCH 2)</t>
        </is>
      </c>
      <c r="M8" s="33" t="n"/>
      <c r="N8" s="33" t="inlineStr">
        <is>
          <t>Intentionally broad provisional subtype.</t>
        </is>
      </c>
      <c r="O8" s="33" t="inlineStr">
        <is>
          <t>MKB-000249; SRC-001 Circular Berlin; Master Analysis row 111.</t>
        </is>
      </c>
      <c r="P8" s="33" t="inlineStr">
        <is>
          <t>new MatSus subclass of waste material</t>
        </is>
      </c>
      <c r="Q8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9" ht="28" customHeight="1">
      <c r="A9" s="33" t="inlineStr">
        <is>
          <t>Supporting waste process</t>
        </is>
      </c>
      <c r="B9" s="33" t="inlineStr">
        <is>
          <t>MatSus</t>
        </is>
      </c>
      <c r="C9" s="33" t="inlineStr">
        <is>
          <t>waste collection process</t>
        </is>
      </c>
      <c r="D9" s="33" t="inlineStr">
        <is>
          <t>https://w3id.org/pmd/matsus/MATSUS_0000015</t>
        </is>
      </c>
      <c r="E9" s="33" t="inlineStr">
        <is>
          <t>A planned process in which waste material is gathered from one or more holders or locations for transport, storage, sorting, recovery, treatment, or disposal.</t>
        </is>
      </c>
      <c r="F9" s="33" t="inlineStr">
        <is>
          <t>COB planned process (http://purl.obolibrary.org/obo/COB_0000082)</t>
        </is>
      </c>
      <c r="G9" s="33" t="inlineStr">
        <is>
          <t>ACCEPT — planned-process parent and definition are appropriate.</t>
        </is>
      </c>
      <c r="H9" s="33" t="inlineStr">
        <is>
          <t>HIGH</t>
        </is>
      </c>
      <c r="I9" s="33" t="inlineStr">
        <is>
          <t>MATSUS_0000015 SubClassOf COB_0000082.</t>
        </is>
      </c>
      <c r="J9" s="33" t="inlineStr">
        <is>
          <t>Later: add waste participant, origin, destination, and responsible-agent relations.</t>
        </is>
      </c>
      <c r="K9" s="33" t="inlineStr">
        <is>
          <t>https://github.com/materialdigital/core-ontology/issues/485</t>
        </is>
      </c>
      <c r="L9" s="33" t="inlineStr">
        <is>
          <t>IMPLEMENTED IN MATSUS-EDIT (MKB1 IR2 BATCH 2)</t>
        </is>
      </c>
      <c r="M9" s="33" t="n"/>
      <c r="N9" s="33" t="inlineStr">
        <is>
          <t>Supporting process with no standalone MKB ID.</t>
        </is>
      </c>
      <c r="O9" s="33" t="inlineStr">
        <is>
          <t>Class Review row 9; human-gate Closure related-terms decision.</t>
        </is>
      </c>
      <c r="P9" s="33" t="inlineStr">
        <is>
          <t>new MatSus subclass of COB planned process</t>
        </is>
      </c>
      <c r="Q9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10" ht="28" customHeight="1">
      <c r="A10" s="33" t="inlineStr">
        <is>
          <t>MKB-000231 supporting class</t>
        </is>
      </c>
      <c r="B10" s="33" t="inlineStr">
        <is>
          <t>MatSus</t>
        </is>
      </c>
      <c r="C10" s="33" t="inlineStr">
        <is>
          <t>sorting process</t>
        </is>
      </c>
      <c r="D10" s="33" t="inlineStr">
        <is>
          <t>https://w3id.org/pmd/matsus/MATSUS_0000016</t>
        </is>
      </c>
      <c r="E10" s="33" t="inlineStr">
        <is>
          <t>A planned process in which material entities are assigned to different groups or streams according to specified criteria.</t>
        </is>
      </c>
      <c r="F10" s="33" t="inlineStr">
        <is>
          <t>COB planned process (http://purl.obolibrary.org/obo/COB_0000082)</t>
        </is>
      </c>
      <c r="G10" s="33" t="inlineStr">
        <is>
          <t>ACCEPT — generic sorting is correctly represented as a process.</t>
        </is>
      </c>
      <c r="H10" s="33" t="inlineStr">
        <is>
          <t>HIGH</t>
        </is>
      </c>
      <c r="I10" s="33" t="inlineStr">
        <is>
          <t>MATSUS_0000016 SubClassOf COB_0000082.</t>
        </is>
      </c>
      <c r="J10" s="33" t="inlineStr">
        <is>
          <t>Later: connect criteria/method specifications and sorted inputs/outputs.</t>
        </is>
      </c>
      <c r="K10" s="33" t="n"/>
      <c r="L10" s="33" t="inlineStr">
        <is>
          <t>IMPLEMENTED IN MATSUS-EDIT (MKB1 IR2 BATCH 2)</t>
        </is>
      </c>
      <c r="M10" s="33" t="n"/>
      <c r="N10" s="33" t="inlineStr">
        <is>
          <t>Generic sorting is represented as a process.</t>
        </is>
      </c>
      <c r="O10" s="33" t="inlineStr">
        <is>
          <t>MKB-000231; SRC-001 Circular Berlin; Master Analysis row 106; no acceptable maintained equivalent found.</t>
        </is>
      </c>
      <c r="P10" s="33" t="inlineStr">
        <is>
          <t>new MatSus subclass of COB planned process</t>
        </is>
      </c>
      <c r="Q10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11" ht="28" customHeight="1">
      <c r="A11" s="33" t="inlineStr">
        <is>
          <t>Supporting waste process</t>
        </is>
      </c>
      <c r="B11" s="33" t="inlineStr">
        <is>
          <t>MatSus</t>
        </is>
      </c>
      <c r="C11" s="33" t="inlineStr">
        <is>
          <t>waste separation process</t>
        </is>
      </c>
      <c r="D11" s="33" t="inlineStr">
        <is>
          <t>https://w3id.org/pmd/matsus/MATSUS_0000018</t>
        </is>
      </c>
      <c r="E11" s="33" t="inlineStr">
        <is>
          <t>A sorting process in which waste material is assigned to different groups or streams according to specified criteria.</t>
        </is>
      </c>
      <c r="F11" s="33" t="inlineStr">
        <is>
          <t>MatSus sorting process (https://w3id.org/pmd/matsus/MATSUS_0000016)</t>
        </is>
      </c>
      <c r="G11" s="33" t="inlineStr">
        <is>
          <t>ACCEPT — waste separation is a defensible sorting-process subtype.</t>
        </is>
      </c>
      <c r="H11" s="33" t="inlineStr">
        <is>
          <t>HIGH</t>
        </is>
      </c>
      <c r="I11" s="33" t="inlineStr">
        <is>
          <t>MATSUS_0000018 SubClassOf MATSUS_0000016.</t>
        </is>
      </c>
      <c r="J11" s="33" t="inlineStr">
        <is>
          <t>Later: add waste input and separated-stream output restrictions after example testing.</t>
        </is>
      </c>
      <c r="K11" s="33" t="inlineStr">
        <is>
          <t>https://github.com/materialdigital/core-ontology/issues/485</t>
        </is>
      </c>
      <c r="L11" s="33" t="inlineStr">
        <is>
          <t>IMPLEMENTED IN MATSUS-EDIT (MKB1 IR2 BATCH 2)</t>
        </is>
      </c>
      <c r="M11" s="33" t="n"/>
      <c r="N11" s="33" t="inlineStr">
        <is>
          <t>Supporting process with no standalone MKB ID.</t>
        </is>
      </c>
      <c r="O11" s="33" t="inlineStr">
        <is>
          <t>Class Review row 11; human-gate Closure related-terms decision.</t>
        </is>
      </c>
      <c r="P11" s="33" t="inlineStr">
        <is>
          <t>new MatSus subclass of sorting process</t>
        </is>
      </c>
      <c r="Q11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12" ht="28" customHeight="1">
      <c r="A12" s="33" t="inlineStr">
        <is>
          <t>MKB-000263</t>
        </is>
      </c>
      <c r="B12" s="33" t="inlineStr">
        <is>
          <t>MatSus</t>
        </is>
      </c>
      <c r="C12" s="33" t="inlineStr">
        <is>
          <t>waste generation process</t>
        </is>
      </c>
      <c r="D12" s="33" t="inlineStr">
        <is>
          <t>https://w3id.org/pmd/matsus/MATSUS_0000019</t>
        </is>
      </c>
      <c r="E12" s="33" t="inlineStr">
        <is>
          <t>A process that has as output a material entity that bears a waste role.</t>
        </is>
      </c>
      <c r="F12" s="33" t="inlineStr">
        <is>
          <t>BFO process (http://purl.obolibrary.org/obo/BFO_0000015)</t>
        </is>
      </c>
      <c r="G12" s="33" t="inlineStr">
        <is>
          <t>ACCEPT — the general process parent avoids incorrectly assuming intentional production.</t>
        </is>
      </c>
      <c r="H12" s="33" t="inlineStr">
        <is>
          <t>HIGH</t>
        </is>
      </c>
      <c r="I12" s="33" t="inlineStr">
        <is>
          <t>MATSUS_0000019 SubClassOf BFO_0000015; MATSUS_0000019 SubClassOf RO_0002234 some MATSUS_0000008.</t>
        </is>
      </c>
      <c r="J12" s="33" t="inlineStr">
        <is>
          <t>Later: distinguish planned and unplanned generation through context unless required otherwise.</t>
        </is>
      </c>
      <c r="K12" s="33" t="inlineStr">
        <is>
          <t>https://github.com/materialdigital/core-ontology/issues/485</t>
        </is>
      </c>
      <c r="L12" s="33" t="inlineStr">
        <is>
          <t>IMPLEMENTED IN MATSUS-EDIT (MKB1 IR2 BATCH 2)</t>
        </is>
      </c>
      <c r="M12" s="33" t="n"/>
      <c r="N12" s="33" t="inlineStr">
        <is>
          <t>Generation is not assumed to be planned production or synthesis.</t>
        </is>
      </c>
      <c r="O12" s="33" t="inlineStr">
        <is>
          <t>MKB-000263; SRC-003 European Environment Agency; Master Analysis row 115.</t>
        </is>
      </c>
      <c r="P12" s="33" t="inlineStr">
        <is>
          <t>new MatSus subclass of BFO process with a necessary waste-material output restriction</t>
        </is>
      </c>
      <c r="Q12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13" ht="28" customHeight="1">
      <c r="A13" s="33" t="inlineStr">
        <is>
          <t>MKB-000264</t>
        </is>
      </c>
      <c r="B13" s="33" t="inlineStr">
        <is>
          <t>MatSus</t>
        </is>
      </c>
      <c r="C13" s="33" t="inlineStr">
        <is>
          <t>waste prevention process</t>
        </is>
      </c>
      <c r="D13" s="33" t="inlineStr">
        <is>
          <t>https://w3id.org/pmd/matsus/MATSUS_0000020</t>
        </is>
      </c>
      <c r="E13" s="33" t="inlineStr">
        <is>
          <t>A planned process that is intended to reduce the quantity or harmfulness of waste generated, or the adverse impacts of generated waste on the environment and human health.</t>
        </is>
      </c>
      <c r="F13" s="33" t="inlineStr">
        <is>
          <t>COB planned process (http://purl.obolibrary.org/obo/COB_0000082)</t>
        </is>
      </c>
      <c r="G13" s="33" t="inlineStr">
        <is>
          <t>ACCEPT — the process/specification split is correct.</t>
        </is>
      </c>
      <c r="H13" s="33" t="inlineStr">
        <is>
          <t>HIGH</t>
        </is>
      </c>
      <c r="I13" s="33" t="inlineStr">
        <is>
          <t>MATSUS_0000020 SubClassOf COB_0000082.</t>
        </is>
      </c>
      <c r="J13" s="33" t="inlineStr">
        <is>
          <t>Later: relate the process to targeted streams and prevention outcomes.</t>
        </is>
      </c>
      <c r="K13" s="33" t="inlineStr">
        <is>
          <t>https://github.com/materialdigital/core-ontology/issues/485</t>
        </is>
      </c>
      <c r="L13" s="33" t="inlineStr">
        <is>
          <t>IMPLEMENTED IN MATSUS-EDIT (MKB1 IR2 BATCH 2)</t>
        </is>
      </c>
      <c r="M13" s="33" t="n"/>
      <c r="N13" s="33" t="inlineStr">
        <is>
          <t>Keep the performed process distinct from its measure specification.</t>
        </is>
      </c>
      <c r="O13" s="33" t="inlineStr">
        <is>
          <t>MKB-000264; SRC-001 Circular Berlin; SRC-003 European Environment Agency; Master Analysis row 116.</t>
        </is>
      </c>
      <c r="P13" s="33" t="inlineStr">
        <is>
          <t>new MatSus subclass of COB planned process</t>
        </is>
      </c>
      <c r="Q13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14" ht="28" customHeight="1">
      <c r="A14" s="33" t="inlineStr">
        <is>
          <t>MKB-000264</t>
        </is>
      </c>
      <c r="B14" s="33" t="inlineStr">
        <is>
          <t>MatSus</t>
        </is>
      </c>
      <c r="C14" s="33" t="inlineStr">
        <is>
          <t>waste prevention measure specification</t>
        </is>
      </c>
      <c r="D14" s="33" t="inlineStr">
        <is>
          <t>https://w3id.org/pmd/matsus/MATSUS_0000021</t>
        </is>
      </c>
      <c r="E14" s="33" t="inlineStr">
        <is>
          <t>A plan specification that prescribes actions intended to realize a waste prevention process.</t>
        </is>
      </c>
      <c r="F14" s="33" t="inlineStr">
        <is>
          <t>IAO plan specification (http://purl.obolibrary.org/obo/IAO_0000104)</t>
        </is>
      </c>
      <c r="G14" s="33" t="inlineStr">
        <is>
          <t>ACCEPT — it is an information artifact prescribing a prevention process, not the process itself.</t>
        </is>
      </c>
      <c r="H14" s="33" t="inlineStr">
        <is>
          <t>HIGH</t>
        </is>
      </c>
      <c r="I14" s="33" t="inlineStr">
        <is>
          <t>MATSUS_0000021 SubClassOf IAO_0000104.</t>
        </is>
      </c>
      <c r="J14" s="33" t="inlineStr">
        <is>
          <t>Later: connect it to the prescribed process.</t>
        </is>
      </c>
      <c r="K14" s="33" t="inlineStr">
        <is>
          <t>https://github.com/materialdigital/core-ontology/issues/485</t>
        </is>
      </c>
      <c r="L14" s="33" t="inlineStr">
        <is>
          <t>IMPLEMENTED IN MATSUS-EDIT (MKB1 IR2 BATCH 2)</t>
        </is>
      </c>
      <c r="M14" s="33" t="n"/>
      <c r="N14" s="33" t="inlineStr">
        <is>
          <t>This is an information artifact, not a process.</t>
        </is>
      </c>
      <c r="O14" s="33" t="inlineStr">
        <is>
          <t>MKB-000264; SRC-001 Circular Berlin; SRC-003 European Environment Agency; Master Analysis row 116.</t>
        </is>
      </c>
      <c r="P14" s="33" t="inlineStr">
        <is>
          <t>new MatSus subclass of IAO plan specification</t>
        </is>
      </c>
      <c r="Q14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15" ht="42" customHeight="1">
      <c r="A15" s="33" t="inlineStr">
        <is>
          <t>MKB-000266</t>
        </is>
      </c>
      <c r="B15" s="33" t="inlineStr">
        <is>
          <t>MatSus</t>
        </is>
      </c>
      <c r="C15" s="33" t="inlineStr">
        <is>
          <t>zero waste objective specification</t>
        </is>
      </c>
      <c r="D15" s="33" t="inlineStr">
        <is>
          <t>https://w3id.org/pmd/matsus/MATSUS_0000022</t>
        </is>
      </c>
      <c r="E15" s="33" t="inlineStr">
        <is>
          <t>An objective specification that describes an intended endpoint in which waste generation and disposal are prevented or minimized through responsible production, consumption, reuse, and recovery.</t>
        </is>
      </c>
      <c r="F15" s="33" t="inlineStr">
        <is>
          <t>IAO objective specification (http://purl.obolibrary.org/obo/IAO_0000005)</t>
        </is>
      </c>
      <c r="G15" s="33" t="inlineStr">
        <is>
          <t>ACCEPT — zero waste is correctly represented as a desired endpoint.</t>
        </is>
      </c>
      <c r="H15" s="33" t="inlineStr">
        <is>
          <t>HIGH</t>
        </is>
      </c>
      <c r="I15" s="33" t="inlineStr">
        <is>
          <t>MATSUS_0000022 SubClassOf IAO_0000005.</t>
        </is>
      </c>
      <c r="J15" s="33" t="inlineStr">
        <is>
          <t>Later: represent scope, baseline, and tolerated residual waste if needed.</t>
        </is>
      </c>
      <c r="K15" s="33" t="inlineStr">
        <is>
          <t>https://github.com/materialdigital/core-ontology/issues/485</t>
        </is>
      </c>
      <c r="L15" s="33" t="inlineStr">
        <is>
          <t>IMPLEMENTED IN MATSUS-EDIT (MKB1 IR2 BATCH 2)</t>
        </is>
      </c>
      <c r="M15" s="33" t="n"/>
      <c r="N15" s="33" t="inlineStr">
        <is>
          <t>Zero waste is normative information content, not a material or process.</t>
        </is>
      </c>
      <c r="O15" s="33" t="inlineStr">
        <is>
          <t>MKB-000266; SRC-001 Circular Berlin; Master Analysis row 117.</t>
        </is>
      </c>
      <c r="P15" s="33" t="inlineStr">
        <is>
          <t>new MatSus subclass of IAO objective specification</t>
        </is>
      </c>
      <c r="Q15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16" ht="28" customHeight="1">
      <c r="A16" s="33" t="inlineStr">
        <is>
          <t>MKB-000266</t>
        </is>
      </c>
      <c r="B16" s="33" t="inlineStr">
        <is>
          <t>MatSus</t>
        </is>
      </c>
      <c r="C16" s="33" t="inlineStr">
        <is>
          <t>zero waste strategy specification</t>
        </is>
      </c>
      <c r="D16" s="33" t="inlineStr">
        <is>
          <t>https://w3id.org/pmd/matsus/MATSUS_0000023</t>
        </is>
      </c>
      <c r="E16" s="33" t="inlineStr">
        <is>
          <t>A plan specification that prescribes actions intended to achieve a zero-waste objective.</t>
        </is>
      </c>
      <c r="F16" s="33" t="inlineStr">
        <is>
          <t>IAO plan specification (http://purl.obolibrary.org/obo/IAO_0000104)</t>
        </is>
      </c>
      <c r="G16" s="33" t="inlineStr">
        <is>
          <t>ACCEPT — a strategy is correctly separated from the objective.</t>
        </is>
      </c>
      <c r="H16" s="33" t="inlineStr">
        <is>
          <t>HIGH</t>
        </is>
      </c>
      <c r="I16" s="33" t="inlineStr">
        <is>
          <t>MATSUS_0000023 SubClassOf IAO_0000104.</t>
        </is>
      </c>
      <c r="J16" s="33" t="inlineStr">
        <is>
          <t>Later: relate it to the objective and prescribed prevention, reuse, and recovery processes.</t>
        </is>
      </c>
      <c r="K16" s="33" t="inlineStr">
        <is>
          <t>https://github.com/materialdigital/core-ontology/issues/485</t>
        </is>
      </c>
      <c r="L16" s="33" t="inlineStr">
        <is>
          <t>IMPLEMENTED IN MATSUS-EDIT (MKB1 IR2 BATCH 2)</t>
        </is>
      </c>
      <c r="M16" s="33" t="n"/>
      <c r="N16" s="33" t="inlineStr">
        <is>
          <t>Keep the strategy distinct from its objective.</t>
        </is>
      </c>
      <c r="O16" s="33" t="inlineStr">
        <is>
          <t>MKB-000266; SRC-001 Circular Berlin; Master Analysis row 117.</t>
        </is>
      </c>
      <c r="P16" s="33" t="inlineStr">
        <is>
          <t>new MatSus subclass of IAO plan specification</t>
        </is>
      </c>
      <c r="Q16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17" ht="28" customHeight="1">
      <c r="A17" s="33" t="inlineStr">
        <is>
          <t>MKB-000236</t>
        </is>
      </c>
      <c r="B17" s="33" t="inlineStr">
        <is>
          <t>MatSus</t>
        </is>
      </c>
      <c r="C17" s="33" t="inlineStr">
        <is>
          <t>waste analysis</t>
        </is>
      </c>
      <c r="D17" s="33" t="inlineStr">
        <is>
          <t>https://w3id.org/pmd/matsus/MATSUS_0000025</t>
        </is>
      </c>
      <c r="E17" s="33" t="inlineStr">
        <is>
          <t>An assay intended to produce information about waste material, a waste-generating process, or a waste stream.</t>
        </is>
      </c>
      <c r="F17" s="33" t="inlineStr">
        <is>
          <t>OBI assay (http://purl.obolibrary.org/obo/OBI_0000070)</t>
        </is>
      </c>
      <c r="G17" s="33" t="inlineStr">
        <is>
          <t>ACCEPT — analysis as an assay producing information is the right pattern.</t>
        </is>
      </c>
      <c r="H17" s="33" t="inlineStr">
        <is>
          <t>HIGH</t>
        </is>
      </c>
      <c r="I17" s="33" t="inlineStr">
        <is>
          <t>MATSUS_0000025 SubClassOf OBI_0000070.</t>
        </is>
      </c>
      <c r="J17" s="33" t="inlineStr">
        <is>
          <t>Later: add evaluant, method, and output-datum relations using a concrete example.</t>
        </is>
      </c>
      <c r="K17" s="33" t="inlineStr">
        <is>
          <t>https://github.com/materialdigital/core-ontology/issues/485</t>
        </is>
      </c>
      <c r="L17" s="33" t="inlineStr">
        <is>
          <t>IMPLEMENTED IN MATSUS-EDIT (MKB1 IR2 BATCH 2)</t>
        </is>
      </c>
      <c r="M17" s="33" t="n"/>
      <c r="N17" s="33" t="inlineStr">
        <is>
          <t>Analysis is an assay, not the information output itself.</t>
        </is>
      </c>
      <c r="O17" s="33" t="inlineStr">
        <is>
          <t>MKB-000236; SRC-001 Circular Berlin; Master Analysis row 107.</t>
        </is>
      </c>
      <c r="P17" s="33" t="inlineStr">
        <is>
          <t>new MatSus subclass of OBI assay</t>
        </is>
      </c>
      <c r="Q17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18" ht="28" customHeight="1">
      <c r="A18" s="33" t="inlineStr">
        <is>
          <t>MKB-000236</t>
        </is>
      </c>
      <c r="B18" s="33" t="inlineStr">
        <is>
          <t>MatSus</t>
        </is>
      </c>
      <c r="C18" s="33" t="inlineStr">
        <is>
          <t>structural waste analysis</t>
        </is>
      </c>
      <c r="D18" s="33" t="inlineStr">
        <is>
          <t>https://w3id.org/pmd/matsus/MATSUS_0000026</t>
        </is>
      </c>
      <c r="E18" s="33" t="inlineStr">
        <is>
          <t>A waste analysis intended to produce information about the composition, organization, or distribution of material constituents within a waste material or waste stream.</t>
        </is>
      </c>
      <c r="F18" s="33" t="inlineStr">
        <is>
          <t>MatSus waste analysis (https://w3id.org/pmd/matsus/MATSUS_0000025)</t>
        </is>
      </c>
      <c r="G18" s="33" t="inlineStr">
        <is>
          <t>ACCEPT — narrowed to composition, organization, or distribution of material constituents; recurring-source analysis is deferred as a sibling.</t>
        </is>
      </c>
      <c r="H18" s="33" t="inlineStr">
        <is>
          <t>MEDIUM</t>
        </is>
      </c>
      <c r="I18" s="33" t="inlineStr">
        <is>
          <t>MATSUS_0000026 SubClassOf MATSUS_0000025.</t>
        </is>
      </c>
      <c r="J18" s="33" t="inlineStr">
        <is>
          <t>Later: consider recurring-source analysis as a deferred sibling class.</t>
        </is>
      </c>
      <c r="K18" s="33" t="inlineStr">
        <is>
          <t>https://github.com/materialdigital/core-ontology/issues/485</t>
        </is>
      </c>
      <c r="L18" s="33" t="inlineStr">
        <is>
          <t>IMPLEMENTED IN MATSUS-EDIT (MKB1 IR2 BATCH 2)</t>
        </is>
      </c>
      <c r="M18" s="33" t="inlineStr">
        <is>
          <t>thoughts before resovling: dont get whats the problem with the draft definition mixes structural/compositional analysis with recurring-source analysis; narrow the definition or rename the class. cant it be generic? whats isdiffernet between structral waste analysis and waste anaylsis in matsus Resolution: narrow StructuralWasteAnalysis and defer recurring-source analysis as a sibling.</t>
        </is>
      </c>
      <c r="N18" s="33" t="inlineStr">
        <is>
          <t>Recurring-generation-pattern analysis is intentionally excluded from this definition.</t>
        </is>
      </c>
      <c r="O18" s="33" t="inlineStr">
        <is>
          <t>MKB-000236; SRC-001 Circular Berlin; Master Analysis row 107.</t>
        </is>
      </c>
      <c r="P18" s="33" t="inlineStr">
        <is>
          <t>new MatSus subclass of waste analysis</t>
        </is>
      </c>
      <c r="Q18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19" ht="28" customHeight="1">
      <c r="A19" s="33" t="inlineStr">
        <is>
          <t>MKB-000181; MKB-000182</t>
        </is>
      </c>
      <c r="B19" s="33" t="inlineStr">
        <is>
          <t>MatSus</t>
        </is>
      </c>
      <c r="C19" s="33" t="inlineStr">
        <is>
          <t>refill process</t>
        </is>
      </c>
      <c r="D19" s="33" t="inlineStr">
        <is>
          <t>https://w3id.org/pmd/matsus/MATSUS_0000034</t>
        </is>
      </c>
      <c r="E19" s="33" t="inlineStr">
        <is>
          <t>A planned process in which a product container or dispensing device is supplied again with a material product for further use without first becoming waste.</t>
        </is>
      </c>
      <c r="F19" s="33" t="inlineStr">
        <is>
          <t>COB planned process (http://purl.obolibrary.org/obo/COB_0000082)</t>
        </is>
      </c>
      <c r="G19" s="33" t="inlineStr">
        <is>
          <t>ACCEPT ? one generic process consolidates the two source rows.</t>
        </is>
      </c>
      <c r="H19" s="33" t="inlineStr">
        <is>
          <t>HIGH</t>
        </is>
      </c>
      <c r="I19" s="33" t="inlineStr">
        <is>
          <t>MATSUS_0000034 SubClassOf COB_0000082.</t>
        </is>
      </c>
      <c r="J19" s="33" t="inlineStr">
        <is>
          <t>Later: model container/device, refilled material, location, agent, and context relations.</t>
        </is>
      </c>
      <c r="K19" s="33" t="n"/>
      <c r="L19" s="33" t="inlineStr">
        <is>
          <t>IMPLEMENTED IN MATSUS-EDIT (MKB1 IR2 BATCH 3)</t>
        </is>
      </c>
      <c r="M19" s="33" t="n"/>
      <c r="N19" s="33" t="inlineStr">
        <is>
          <t>MKB-000181 and MKB-000182 are consolidated into this class; at-home and on-the-go are source contexts, not subclasses.</t>
        </is>
      </c>
      <c r="O19" s="33" t="inlineStr">
        <is>
          <t>MKB-000181 and MKB-000182; SRC-002 Ellen MacArthur Foundation; Batch 3 planning report.</t>
        </is>
      </c>
      <c r="P19" s="33" t="inlineStr">
        <is>
          <t>new MatSus subclass of COB planned process</t>
        </is>
      </c>
      <c r="Q19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  <row r="20" ht="28" customHeight="1">
      <c r="A20" s="33" t="inlineStr">
        <is>
          <t>MKB-000231</t>
        </is>
      </c>
      <c r="B20" s="33" t="inlineStr">
        <is>
          <t>MatSus</t>
        </is>
      </c>
      <c r="C20" s="33" t="inlineStr">
        <is>
          <t>sorting method specification</t>
        </is>
      </c>
      <c r="D20" s="33" t="inlineStr">
        <is>
          <t>https://w3id.org/pmd/matsus/MATSUS_0000017</t>
        </is>
      </c>
      <c r="E20" s="33" t="inlineStr">
        <is>
          <t>A plan specification that prescribes how a sorting process is to be carried out.</t>
        </is>
      </c>
      <c r="F20" s="33" t="inlineStr">
        <is>
          <t>IAO plan specification (http://purl.obolibrary.org/obo/IAO_0000104)</t>
        </is>
      </c>
      <c r="G20" s="33" t="inlineStr">
        <is>
          <t>ACCEPT — correctly modelled as an information artifact, explicitly not as a sorting-process subclass.</t>
        </is>
      </c>
      <c r="H20" s="33" t="inlineStr">
        <is>
          <t>HIGH</t>
        </is>
      </c>
      <c r="I20" s="33" t="inlineStr">
        <is>
          <t>MATSUS_0000017 SubClassOf IAO_0000104. No subclass axiom to MATSUS_0000016.</t>
        </is>
      </c>
      <c r="J20" s="33" t="inlineStr">
        <is>
          <t>Later: relate the method specification to the sorting process it prescribes.</t>
        </is>
      </c>
      <c r="K20" s="33" t="n"/>
      <c r="L20" s="33" t="inlineStr">
        <is>
          <t>IMPLEMENTED IN MATSUS-EDIT (MKB1 IR2 BATCH 2)</t>
        </is>
      </c>
      <c r="M20" s="33" t="n"/>
      <c r="N20" s="33" t="inlineStr">
        <is>
          <t>This is an information content entity and is not a subclass of SortingProcess.</t>
        </is>
      </c>
      <c r="O20" s="33" t="inlineStr">
        <is>
          <t>MKB-000231; SRC-001 Circular Berlin; Master Analysis row 106.</t>
        </is>
      </c>
      <c r="P20" s="33" t="inlineStr">
        <is>
          <t>new MatSus subclass of IAO plan specification</t>
        </is>
      </c>
      <c r="Q20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21" ht="28" customHeight="1">
      <c r="A21" s="33" t="inlineStr">
        <is>
          <t>MKB-000202</t>
        </is>
      </c>
      <c r="B21" s="33" t="inlineStr">
        <is>
          <t>MatSus</t>
        </is>
      </c>
      <c r="C21" s="33" t="inlineStr">
        <is>
          <t>repurposing process</t>
        </is>
      </c>
      <c r="D21" s="33" t="inlineStr">
        <is>
          <t>https://w3id.org/pmd/matsus/MATSUS_0000031</t>
        </is>
      </c>
      <c r="E21" s="33" t="inlineStr">
        <is>
          <t>A planned process in which a product, component, or material is prepared or modified so that it can fulfil a purpose different from its preceding intended purpose.</t>
        </is>
      </c>
      <c r="F21" s="33" t="inlineStr">
        <is>
          <t>COB planned process (http://purl.obolibrary.org/obo/COB_0000082)</t>
        </is>
      </c>
      <c r="G21" s="33" t="inlineStr">
        <is>
          <t>ACCEPT ? the new-purpose distinction is captured clearly; no maintained compatible process class was verified.</t>
        </is>
      </c>
      <c r="H21" s="33" t="inlineStr">
        <is>
          <t>HIGH</t>
        </is>
      </c>
      <c r="I21" s="33" t="inlineStr">
        <is>
          <t>MATSUS_0000031 SubClassOf COB_0000082.</t>
        </is>
      </c>
      <c r="J21" s="33" t="inlineStr">
        <is>
          <t>Later: represent prior purpose, new purpose, participants, inputs, and outputs.</t>
        </is>
      </c>
      <c r="K21" s="33" t="n"/>
      <c r="L21" s="33" t="inlineStr">
        <is>
          <t>IMPLEMENTED IN MATSUS-EDIT (MKB1 IR2 BATCH 3)</t>
        </is>
      </c>
      <c r="M21" s="33" t="n"/>
      <c r="N21" s="33" t="inlineStr">
        <is>
          <t>No maintained compatible repurposing-process class was verified in the reviewed sources.</t>
        </is>
      </c>
      <c r="O21" s="33" t="inlineStr">
        <is>
          <t>MKB-000202; SRC-001 Circular Berlin; Batch 3 planning report.</t>
        </is>
      </c>
      <c r="P21" s="33" t="inlineStr">
        <is>
          <t>new MatSus subclass of COB planned process</t>
        </is>
      </c>
      <c r="Q21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  <row r="22" ht="28" customHeight="1">
      <c r="A22" s="33" t="inlineStr">
        <is>
          <t>MKB-000009</t>
        </is>
      </c>
      <c r="B22" s="33" t="inlineStr">
        <is>
          <t>MatSus</t>
        </is>
      </c>
      <c r="C22" s="33" t="inlineStr">
        <is>
          <t>battery repurposing process</t>
        </is>
      </c>
      <c r="D22" s="33" t="inlineStr">
        <is>
          <t>https://w3id.org/pmd/matsus/MATSUS_0000032</t>
        </is>
      </c>
      <c r="E22" s="33" t="inlineStr">
        <is>
          <t>A repurposing process whose primary participant is a battery or battery component.</t>
        </is>
      </c>
      <c r="F22" s="33" t="inlineStr">
        <is>
          <t>MatSus repurposing process (https://w3id.org/pmd/matsus/MATSUS_0000031)</t>
        </is>
      </c>
      <c r="G22" s="33" t="inlineStr">
        <is>
          <t>ACCEPT ? appropriate battery-specific specialization.</t>
        </is>
      </c>
      <c r="H22" s="33" t="inlineStr">
        <is>
          <t>HIGH</t>
        </is>
      </c>
      <c r="I22" s="33" t="inlineStr">
        <is>
          <t>MATSUS_0000032 SubClassOf MATSUS_0000031.</t>
        </is>
      </c>
      <c r="J22" s="33" t="inlineStr">
        <is>
          <t>Later: add battery-participant and second-life or new-purpose relations from an approved use case.</t>
        </is>
      </c>
      <c r="K22" s="33" t="n"/>
      <c r="L22" s="33" t="inlineStr">
        <is>
          <t>IMPLEMENTED IN MATSUS-EDIT (MKB1 IR2 BATCH 3)</t>
        </is>
      </c>
      <c r="M22" s="33" t="n"/>
      <c r="N22" s="33" t="inlineStr">
        <is>
          <t>Battery participant and second-life/new-purpose relations remain deferred.</t>
        </is>
      </c>
      <c r="O22" s="33" t="inlineStr">
        <is>
          <t>MKB-000009; SRC-002 Ellen MacArthur Foundation; Batch 3 planning report.</t>
        </is>
      </c>
      <c r="P22" s="33" t="inlineStr">
        <is>
          <t>new MatSus subclass of repurposing process</t>
        </is>
      </c>
      <c r="Q22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  <row r="23" ht="28" customHeight="1">
      <c r="A23" s="33" t="inlineStr">
        <is>
          <t>MKB-000189</t>
        </is>
      </c>
      <c r="B23" s="33" t="inlineStr">
        <is>
          <t>MatSus</t>
        </is>
      </c>
      <c r="C23" s="33" t="inlineStr">
        <is>
          <t>remanufacturing process</t>
        </is>
      </c>
      <c r="D23" s="33" t="inlineStr">
        <is>
          <t>https://w3id.org/pmd/matsus/MATSUS_0000036</t>
        </is>
      </c>
      <c r="E23" s="33" t="inlineStr">
        <is>
          <t>A planned process in which a used product or component is restored to a specified performance and quality state through inspection and one or more restorative operations.</t>
        </is>
      </c>
      <c r="F23" s="33" t="inlineStr">
        <is>
          <t>COB planned process (http://purl.obolibrary.org/obo/COB_0000082)</t>
        </is>
      </c>
      <c r="G23" s="33" t="inlineStr">
        <is>
          <t>ACCEPT ? process parent and restorative-performance definition are defensible.</t>
        </is>
      </c>
      <c r="H23" s="33" t="inlineStr">
        <is>
          <t>HIGH</t>
        </is>
      </c>
      <c r="I23" s="33" t="inlineStr">
        <is>
          <t>MATSUS_0000036 SubClassOf COB_0000082.</t>
        </is>
      </c>
      <c r="J23" s="33" t="inlineStr">
        <is>
          <t>Later: model used input, retained identity or components, restorative operations, and specified output state.</t>
        </is>
      </c>
      <c r="K23" s="33" t="n"/>
      <c r="L23" s="33" t="inlineStr">
        <is>
          <t>IMPLEMENTED IN MATSUS-EDIT (MKB1 IR2 BATCH 3)</t>
        </is>
      </c>
      <c r="M23" s="33" t="n"/>
      <c r="N23" s="33" t="inlineStr">
        <is>
          <t>The process remains distinct from the separate AutomatCE remanufacturability disposition candidate.</t>
        </is>
      </c>
      <c r="O23" s="33" t="inlineStr">
        <is>
          <t>MKB-000189; SRC-003 European Environment Agency; Batch 3 planning report.</t>
        </is>
      </c>
      <c r="P23" s="33" t="inlineStr">
        <is>
          <t>new MatSus subclass of COB planned process</t>
        </is>
      </c>
      <c r="Q23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  <row r="24" ht="76" customHeight="1">
      <c r="A24" s="33" t="inlineStr">
        <is>
          <t>MKB-000180</t>
        </is>
      </c>
      <c r="B24" s="33" t="inlineStr">
        <is>
          <t>MatSus</t>
        </is>
      </c>
      <c r="C24" s="33" t="inlineStr">
        <is>
          <t>resource-input reduction process</t>
        </is>
      </c>
      <c r="D24" s="33" t="inlineStr">
        <is>
          <t>https://w3id.org/pmd/matsus/MATSUS_0000033</t>
        </is>
      </c>
      <c r="E24" s="33" t="inlineStr">
        <is>
          <t>A planned process intended to reduce the amount of material input used by a specified process or system.</t>
        </is>
      </c>
      <c r="F24" s="33" t="inlineStr">
        <is>
          <t>COB planned process (http://purl.obolibrary.org/obo/COB_0000082)</t>
        </is>
      </c>
      <c r="G24" s="33" t="inlineStr">
        <is>
          <t>ACCEPT ? broad intentional intervention class, kept distinct from its assessment and objective specification.</t>
        </is>
      </c>
      <c r="H24" s="33" t="inlineStr">
        <is>
          <t>HIGH</t>
        </is>
      </c>
      <c r="I24" s="33" t="inlineStr">
        <is>
          <t>MATSUS_0000033 SubClassOf COB_0000082.</t>
        </is>
      </c>
      <c r="J24" s="33" t="inlineStr">
        <is>
          <t>Later: model the affected process or system, material input, stated baseline, comparison conditions, and comparable output or function.</t>
        </is>
      </c>
      <c r="K24" s="33" t="n"/>
      <c r="L24" s="33" t="inlineStr">
        <is>
          <t>IMPLEMENTED IN MATSUS-EDIT (MKB1 IR2 BATCH 3)</t>
        </is>
      </c>
      <c r="M24" s="33" t="n"/>
      <c r="N24" s="33" t="inlineStr">
        <is>
          <t>Keep this process distinct from MATSUS_0000005 resource-input reduction assessment and MATSUS_0000006 resource-input reduction objective specification.</t>
        </is>
      </c>
      <c r="O24" s="33" t="inlineStr">
        <is>
          <t>MKB-000180; SRC-001 Circular Berlin; Batch 3 planning report.</t>
        </is>
      </c>
      <c r="P24" s="33" t="inlineStr">
        <is>
          <t>new MatSus subclass of COB planned process</t>
        </is>
      </c>
      <c r="Q24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  <row r="25" ht="28" customHeight="1">
      <c r="A25" s="33" t="inlineStr">
        <is>
          <t>MKB-000085</t>
        </is>
      </c>
      <c r="B25" s="33" t="inlineStr">
        <is>
          <t>MatSus</t>
        </is>
      </c>
      <c r="C25" s="33" t="inlineStr">
        <is>
          <t>waste elimination objective specification</t>
        </is>
      </c>
      <c r="D25" s="33" t="inlineStr">
        <is>
          <t>https://w3id.org/pmd/matsus/MATSUS_0000024</t>
        </is>
      </c>
      <c r="E25" s="33" t="inlineStr">
        <is>
          <t>An objective specification that specifies the intended absence of a specified waste output within a stated scope.</t>
        </is>
      </c>
      <c r="F25" s="33" t="inlineStr">
        <is>
          <t>IAO objective specification (http://purl.obolibrary.org/obo/IAO_0000005)</t>
        </is>
      </c>
      <c r="G25" s="33" t="inlineStr">
        <is>
          <t>ACCEPT PROVISIONALLY — objective-specification modelling is correct; pollution-elimination modelling remains deferred pending a suitable target pattern.</t>
        </is>
      </c>
      <c r="H25" s="33" t="inlineStr">
        <is>
          <t>MEDIUM</t>
        </is>
      </c>
      <c r="I25" s="33" t="inlineStr">
        <is>
          <t>MATSUS_0000024 SubClassOf IAO_0000005.</t>
        </is>
      </c>
      <c r="J25" s="33" t="inlineStr">
        <is>
          <t>Later: link to a scoped waste target and boundary. Pollution-elimination modelling is deferred until a suitable pollution target pattern is established.</t>
        </is>
      </c>
      <c r="K25" s="33" t="inlineStr">
        <is>
          <t>https://github.com/materialdigital/core-ontology/issues/485</t>
        </is>
      </c>
      <c r="L25" s="33" t="inlineStr">
        <is>
          <t>IMPLEMENTED IN MATSUS-EDIT (MKB1 IR2 BATCH 2)</t>
        </is>
      </c>
      <c r="M25" s="33" t="n"/>
      <c r="N25" s="33" t="inlineStr">
        <is>
          <t>MKB-000085 is retained as provenance. Do not create a generic elimination process or pollution class.</t>
        </is>
      </c>
      <c r="O25" s="33" t="inlineStr">
        <is>
          <t>MKB-000085; SRC-002 Ellen MacArthur Foundation; Master Analysis row 56.</t>
        </is>
      </c>
      <c r="P25" s="33" t="inlineStr">
        <is>
          <t>new MatSus subclass of IAO objective specification</t>
        </is>
      </c>
      <c r="Q25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26" ht="28" customHeight="1">
      <c r="A26" s="33" t="inlineStr">
        <is>
          <t>MKB-000184</t>
        </is>
      </c>
      <c r="B26" s="33" t="inlineStr">
        <is>
          <t>MatSus</t>
        </is>
      </c>
      <c r="C26" s="33" t="inlineStr">
        <is>
          <t>refusal process</t>
        </is>
      </c>
      <c r="D26" s="33" t="inlineStr">
        <is>
          <t>https://w3id.org/pmd/matsus/MATSUS_0000035</t>
        </is>
      </c>
      <c r="E26" s="33" t="inlineStr">
        <is>
          <t>A planned process in which an agent intentionally declines to acquire, accept, or use a specified product, material, or service in order to avoid its associated resource use or waste generation.</t>
        </is>
      </c>
      <c r="F26" s="33" t="inlineStr">
        <is>
          <t>COB planned process (http://purl.obolibrary.org/obo/COB_0000082)</t>
        </is>
      </c>
      <c r="G26" s="33" t="inlineStr">
        <is>
          <t>ACCEPT ? actual intentional refusal occurrence, distinct from strategy and objective specifications.</t>
        </is>
      </c>
      <c r="H26" s="33" t="inlineStr">
        <is>
          <t>HIGH</t>
        </is>
      </c>
      <c r="I26" s="33" t="inlineStr">
        <is>
          <t>MATSUS_0000035 SubClassOf COB_0000082.</t>
        </is>
      </c>
      <c r="J26" s="33" t="inlineStr">
        <is>
          <t>Later: add agent, refused entity or service, and avoidance-objective relations. Do not add a logical relation to RefusalStrategySpecification in Batch 3.</t>
        </is>
      </c>
      <c r="K26" s="33" t="n"/>
      <c r="L26" s="33" t="inlineStr">
        <is>
          <t>IMPLEMENTED IN MATSUS-EDIT (MKB1 IR2 BATCH 3)</t>
        </is>
      </c>
      <c r="M26" s="33" t="n"/>
      <c r="N26" s="33" t="inlineStr">
        <is>
          <t>RefusalProcess represents the actual intentional refusal occurrence. It does not represent the strategy specification or objective specification that motivates, enables, or encourages that occurrence.</t>
        </is>
      </c>
      <c r="O26" s="33" t="inlineStr">
        <is>
          <t>MKB-000184; SRC-001 Circular Berlin; Batch 3 planning report.</t>
        </is>
      </c>
      <c r="P26" s="33" t="inlineStr">
        <is>
          <t>new MatSus subclass of COB planned process</t>
        </is>
      </c>
      <c r="Q26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  <row r="27" ht="28" customHeight="1">
      <c r="A27" s="33" t="inlineStr">
        <is>
          <t>MKB-000002; MKB-000069</t>
        </is>
      </c>
      <c r="B27" s="33" t="inlineStr">
        <is>
          <t>MatSus</t>
        </is>
      </c>
      <c r="C27" s="33" t="inlineStr">
        <is>
          <t>decoupling datum</t>
        </is>
      </c>
      <c r="D27" s="33" t="inlineStr">
        <is>
          <t>https://w3id.org/pmd/matsus/MATSUS_0000037</t>
        </is>
      </c>
      <c r="E27" s="33" t="inlineStr">
        <is>
          <t>A data item that records a comparison over a stated time interval in which the rate of change of a resource input or environmental pressure is lower than the rate of change of a specified economic or service output.</t>
        </is>
      </c>
      <c r="F27" s="33" t="inlineStr">
        <is>
          <t>IAO data item (http://purl.obolibrary.org/obo/IAO_0000027)</t>
        </is>
      </c>
      <c r="G27" s="33" t="inlineStr">
        <is>
          <t>ACCEPT ? established sustainability/resource-efficiency comparative datum, not a physical separation process.</t>
        </is>
      </c>
      <c r="H27" s="33" t="inlineStr">
        <is>
          <t>HIGH</t>
        </is>
      </c>
      <c r="I27" s="33" t="inlineStr">
        <is>
          <t>MATSUS_0000037 SubClassOf IAO_0000027.</t>
        </is>
      </c>
      <c r="J27" s="33" t="inlineStr">
        <is>
          <t>Later: model absolute and relative classifications, baseline and comparison interval, resource-input or environmental-pressure indicator, economic or service-output indicator, calculation method, ratio, and temporal relations.</t>
        </is>
      </c>
      <c r="K27" s="33" t="n"/>
      <c r="L27" s="33" t="inlineStr">
        <is>
          <t>IMPLEMENTED IN MATSUS-EDIT (MKB1 IR2 BATCH 3)</t>
        </is>
      </c>
      <c r="M27" s="33" t="n"/>
      <c r="N27" s="33" t="inlineStr">
        <is>
          <t>This records sustainability/resource-efficiency decoupling, not dismantling, disassembly, or another physical separation process.</t>
        </is>
      </c>
      <c r="O27" s="33" t="inlineStr">
        <is>
          <t>MKB-000002, SRC-003 European Environment Agency; MKB-000069, SRC-002 Ellen MacArthur Foundation; Batch 3 planning report.</t>
        </is>
      </c>
      <c r="P27" s="33" t="inlineStr">
        <is>
          <t>new MatSus subclass of IAO data item</t>
        </is>
      </c>
      <c r="Q27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  <row r="28" ht="28" customHeight="1">
      <c r="A28" s="33" t="inlineStr">
        <is>
          <t>MKB-000205</t>
        </is>
      </c>
      <c r="B28" s="33" t="inlineStr">
        <is>
          <t>MatSus</t>
        </is>
      </c>
      <c r="C28" s="33" t="inlineStr">
        <is>
          <t>resource efficiency datum</t>
        </is>
      </c>
      <c r="D28" s="33" t="inlineStr">
        <is>
          <t>https://w3id.org/pmd/matsus/MATSUS_0000028</t>
        </is>
      </c>
      <c r="E28" s="33" t="inlineStr">
        <is>
          <t>A data item that records the useful output, service, or value obtained per stated quantity of resource input under a specified method, boundary, and time interval.</t>
        </is>
      </c>
      <c r="F28" s="33" t="inlineStr">
        <is>
          <t>IAO data item (http://purl.obolibrary.org/obo/IAO_0000027)</t>
        </is>
      </c>
      <c r="G28" s="33" t="inlineStr">
        <is>
          <t>ACCEPT ? calculated result datum, not an intrinsic efficiency quality.</t>
        </is>
      </c>
      <c r="H28" s="33" t="inlineStr">
        <is>
          <t>HIGH</t>
        </is>
      </c>
      <c r="I28" s="33" t="inlineStr">
        <is>
          <t>MATSUS_0000028 SubClassOf IAO_0000027.</t>
        </is>
      </c>
      <c r="J28" s="33" t="inlineStr">
        <is>
          <t>Later: model numerator/output, resource input, method, boundary, unit, time interval, and calculation relations.</t>
        </is>
      </c>
      <c r="K28" s="33" t="n"/>
      <c r="L28" s="33" t="inlineStr">
        <is>
          <t>IMPLEMENTED IN MATSUS-EDIT (MKB1 IR2 BATCH 3)</t>
        </is>
      </c>
      <c r="M28" s="33" t="n"/>
      <c r="N28" s="33" t="inlineStr">
        <is>
          <t>This is a calculated result datum, not an intrinsic efficiency quality.</t>
        </is>
      </c>
      <c r="O28" s="33" t="inlineStr">
        <is>
          <t>MKB-000205; SRC-001 Circular Berlin; UNEP domain meaning; Batch 3 planning report.</t>
        </is>
      </c>
      <c r="P28" s="33" t="inlineStr">
        <is>
          <t>new MatSus subclass of IAO data item</t>
        </is>
      </c>
      <c r="Q28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  <row r="29" ht="28" customHeight="1">
      <c r="A29" s="33" t="inlineStr">
        <is>
          <t>MKB-000137</t>
        </is>
      </c>
      <c r="B29" s="33" t="inlineStr">
        <is>
          <t>MatSus</t>
        </is>
      </c>
      <c r="C29" s="33" t="inlineStr">
        <is>
          <t>material resource efficiency datum</t>
        </is>
      </c>
      <c r="D29" s="33" t="inlineStr">
        <is>
          <t>https://w3id.org/pmd/matsus/MATSUS_0000029</t>
        </is>
      </c>
      <c r="E29" s="33" t="inlineStr">
        <is>
          <t>A resource efficiency datum whose stated resource input is a quantity of material.</t>
        </is>
      </c>
      <c r="F29" s="33" t="inlineStr">
        <is>
          <t>MatSus resource efficiency datum (https://w3id.org/pmd/matsus/MATSUS_0000028)</t>
        </is>
      </c>
      <c r="G29" s="33" t="inlineStr">
        <is>
          <t>ACCEPT ? clear material-input specialization.</t>
        </is>
      </c>
      <c r="H29" s="33" t="inlineStr">
        <is>
          <t>HIGH</t>
        </is>
      </c>
      <c r="I29" s="33" t="inlineStr">
        <is>
          <t>MATSUS_0000029 SubClassOf MATSUS_0000028.</t>
        </is>
      </c>
      <c r="J29" s="33" t="inlineStr">
        <is>
          <t>Later: constrain the stated resource input to a material quantity and add method, unit, or boundary relations only through an approved pattern.</t>
        </is>
      </c>
      <c r="K29" s="33" t="n"/>
      <c r="L29" s="33" t="inlineStr">
        <is>
          <t>IMPLEMENTED IN MATSUS-EDIT (MKB1 IR2 BATCH 3)</t>
        </is>
      </c>
      <c r="M29" s="33" t="n"/>
      <c r="N29" s="33" t="inlineStr">
        <is>
          <t>Material-input specialization of resource efficiency datum; no additional restriction is asserted in Batch 3.</t>
        </is>
      </c>
      <c r="O29" s="33" t="inlineStr">
        <is>
          <t>MKB-000137; SRC-003 European Environment Agency; Batch 3 planning report.</t>
        </is>
      </c>
      <c r="P29" s="33" t="inlineStr">
        <is>
          <t>new MatSus subclass of resource efficiency datum</t>
        </is>
      </c>
      <c r="Q29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  <row r="30" ht="28" customHeight="1">
      <c r="A30" s="33" t="inlineStr">
        <is>
          <t>ADD-SCO-012</t>
        </is>
      </c>
      <c r="B30" s="33" t="inlineStr">
        <is>
          <t>MatSus</t>
        </is>
      </c>
      <c r="C30" s="33" t="inlineStr">
        <is>
          <t>metric specification</t>
        </is>
      </c>
      <c r="D30" s="33" t="inlineStr">
        <is>
          <t>https://w3id.org/pmd/matsus/MATSUS_0000027</t>
        </is>
      </c>
      <c r="E30" s="33" t="inlineStr">
        <is>
          <t>A directive information entity that prescribes the quantities, calculation method, units, boundary, and interpretation used to produce a quantitative indicator datum.</t>
        </is>
      </c>
      <c r="F30" s="33" t="inlineStr">
        <is>
          <t>IAO directive information entity (http://purl.obolibrary.org/obo/IAO_0000033)</t>
        </is>
      </c>
      <c r="G30" s="33" t="inlineStr">
        <is>
          <t>ACCEPT ? metric specifications prescribe calculation inputs and methods; resulting metric values remain data items.</t>
        </is>
      </c>
      <c r="H30" s="33" t="inlineStr">
        <is>
          <t>HIGH</t>
        </is>
      </c>
      <c r="I30" s="33" t="inlineStr">
        <is>
          <t>MATSUS_0000027 SubClassOf IAO_0000033.</t>
        </is>
      </c>
      <c r="J30" s="33" t="inlineStr">
        <is>
          <t>Later: relate prescribed quantities, calculation method, units, boundary, interpretation, and resulting datum.</t>
        </is>
      </c>
      <c r="K30" s="33" t="n"/>
      <c r="L30" s="33" t="inlineStr">
        <is>
          <t>IMPLEMENTED IN MATSUS-EDIT (MKB1 IR2 BATCH 3)</t>
        </is>
      </c>
      <c r="M30" s="33" t="n"/>
      <c r="N30" s="33" t="inlineStr">
        <is>
          <t>Metric specifications prescribe methods; resulting metric values remain data items. No further logical restrictions are asserted in Batch 3.</t>
        </is>
      </c>
      <c r="O30" s="33" t="inlineStr">
        <is>
          <t>ADD-SCO-012; SCO; Batch 3 planning report.</t>
        </is>
      </c>
      <c r="P30" s="33" t="inlineStr">
        <is>
          <t>new MatSus subclass of IAO directive information entity</t>
        </is>
      </c>
      <c r="Q30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  <row r="31" ht="42" customHeight="1">
      <c r="A31" s="33" t="inlineStr">
        <is>
          <t>MKB-000028</t>
        </is>
      </c>
      <c r="B31" s="33" t="inlineStr">
        <is>
          <t>MatSus</t>
        </is>
      </c>
      <c r="C31" s="33" t="inlineStr">
        <is>
          <t>circular design specification</t>
        </is>
      </c>
      <c r="D31" s="33" t="inlineStr">
        <is>
          <t>https://w3id.org/pmd/matsus/CircularDesignSpecification</t>
        </is>
      </c>
      <c r="E31" s="33" t="inlineStr">
        <is>
          <t>A directive information entity that prescribes a product, component, or material so that circular-economy objectives constrain its lifecycle design.</t>
        </is>
      </c>
      <c r="F31" s="33" t="inlineStr">
        <is>
          <t>IAO directive information entity (IAO_0000033), provisionally</t>
        </is>
      </c>
      <c r="G31" s="33" t="inlineStr">
        <is>
          <t>EXTERNAL_ISSUE_DEPENDENT ? await PMDco #488; if the generic DesignSpecification proposal is rejected, reconsider a local MatSus class.</t>
        </is>
      </c>
      <c r="H31" s="33" t="inlineStr">
        <is>
          <t>MEDIUM</t>
        </is>
      </c>
      <c r="I31" s="33" t="inlineStr">
        <is>
          <t>No MatSus axiom in Batch 3.</t>
        </is>
      </c>
      <c r="J31" s="33" t="inlineStr">
        <is>
          <t>Await PMDco #488 before local reconsideration.</t>
        </is>
      </c>
      <c r="K31" s="33" t="inlineStr">
        <is>
          <t>https://github.com/materialdigital/core-ontology/issues/488</t>
        </is>
      </c>
      <c r="L31" s="33" t="inlineStr">
        <is>
          <t>NOT IMPLEMENTED ? EXTERNAL ISSUE DEPENDENT</t>
        </is>
      </c>
      <c r="M31" s="33" t="n"/>
      <c r="N31" s="33" t="inlineStr">
        <is>
          <t>Deferred pending PMDco #488.</t>
        </is>
      </c>
      <c r="Q31" s="33" t="inlineStr">
        <is>
          <t>CONFIRMED ABSENT FROM MATSUS-EDIT 2026-09-07.</t>
        </is>
      </c>
    </row>
    <row r="32" ht="28" customHeight="1">
      <c r="A32" s="33" t="inlineStr">
        <is>
          <t>MKB-000146</t>
        </is>
      </c>
      <c r="B32" s="33" t="inlineStr">
        <is>
          <t>MatSus</t>
        </is>
      </c>
      <c r="C32" s="33" t="inlineStr">
        <is>
          <t>modularity</t>
        </is>
      </c>
      <c r="D32" s="33" t="inlineStr">
        <is>
          <t>https://w3id.org/pmd/matsus/MATSUS_0000038</t>
        </is>
      </c>
      <c r="E32" s="33" t="inlineStr">
        <is>
          <t>A quality of an entity that reflects the degree to which its parts are organized into separable, replaceable, or recombinable modules.</t>
        </is>
      </c>
      <c r="F32" s="33" t="inlineStr">
        <is>
          <t>BFO quality (http://purl.obolibrary.org/obo/BFO_0000019)</t>
        </is>
      </c>
      <c r="G32" s="33" t="inlineStr">
        <is>
          <t>ACCEPT ? degree of modular organization is appropriately represented as a quality.</t>
        </is>
      </c>
      <c r="H32" s="33" t="inlineStr">
        <is>
          <t>HIGH</t>
        </is>
      </c>
      <c r="I32" s="33" t="inlineStr">
        <is>
          <t>MATSUS_0000038 SubClassOf BFO_0000019.</t>
        </is>
      </c>
      <c r="J32" s="33" t="inlineStr">
        <is>
          <t>Later: model the bearer, measurement datum, degree, method, and any device- or design-specific subclasses.</t>
        </is>
      </c>
      <c r="K32" s="33" t="n"/>
      <c r="L32" s="33" t="inlineStr">
        <is>
          <t>IMPLEMENTED IN MATSUS-EDIT (MKB1 IR2 BATCH 3)</t>
        </is>
      </c>
      <c r="M32" s="33" t="n"/>
      <c r="N32" s="33" t="inlineStr">
        <is>
          <t>Modularity is a dependent quality of a bearer, not an object aggregate.</t>
        </is>
      </c>
      <c r="O32" s="33" t="inlineStr">
        <is>
          <t>MKB-000146; SRC-002 Ellen MacArthur Foundation; Batch 3 planning report.</t>
        </is>
      </c>
      <c r="P32" s="33" t="inlineStr">
        <is>
          <t>new MatSus subclass of BFO quality</t>
        </is>
      </c>
      <c r="Q32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  <row r="33" ht="28" customHeight="1">
      <c r="A33" s="33" t="inlineStr">
        <is>
          <t>MKB-000247 supporting class</t>
        </is>
      </c>
      <c r="B33" s="33" t="inlineStr">
        <is>
          <t>MatSus; later LOG review</t>
        </is>
      </c>
      <c r="C33" s="33" t="inlineStr">
        <is>
          <t>material flow process</t>
        </is>
      </c>
      <c r="D33" s="33" t="inlineStr">
        <is>
          <t>https://w3id.org/pmd/matsus/MaterialFlowProcess</t>
        </is>
      </c>
      <c r="E33" s="33" t="inlineStr">
        <is>
          <t>A process during which material entities move between locations, agents, lifecycle stages, or transformation processes.</t>
        </is>
      </c>
      <c r="F33" s="33" t="inlineStr">
        <is>
          <t>BFO process (BFO_0000015)</t>
        </is>
      </c>
      <c r="G33" s="33" t="inlineStr">
        <is>
          <t>DEFER ? dedicated analysis of LOG transport, material-location-change, logistics, and material-flow-datum patterns is required.</t>
        </is>
      </c>
      <c r="H33" s="33" t="inlineStr">
        <is>
          <t>MEDIUM</t>
        </is>
      </c>
      <c r="I33" s="33" t="inlineStr">
        <is>
          <t>No MatSus axiom in Batch 3.</t>
        </is>
      </c>
      <c r="J33" s="33" t="inlineStr">
        <is>
          <t>Resolve process-versus-datum semantics and LOG ownership before implementation.</t>
        </is>
      </c>
      <c r="K33" s="33" t="inlineStr">
        <is>
          <t>LOG review later</t>
        </is>
      </c>
      <c r="L33" s="33" t="inlineStr">
        <is>
          <t>DEFERRED ? NOT IN BATCH 3</t>
        </is>
      </c>
      <c r="M33" s="33" t="n"/>
      <c r="N33" s="33" t="inlineStr">
        <is>
          <t>Material-flow modelling remains outside Batch 3.</t>
        </is>
      </c>
      <c r="Q33" s="33" t="inlineStr">
        <is>
          <t>CONFIRMED ABSENT FROM MATSUS-EDIT 2026-09-07.</t>
        </is>
      </c>
    </row>
    <row r="34" ht="28" customHeight="1">
      <c r="A34" s="33" t="inlineStr">
        <is>
          <t>MKB-000247</t>
        </is>
      </c>
      <c r="B34" s="33" t="inlineStr">
        <is>
          <t>MatSus; later LOG review</t>
        </is>
      </c>
      <c r="C34" s="33" t="inlineStr">
        <is>
          <t>textile material flow process</t>
        </is>
      </c>
      <c r="D34" s="33" t="inlineStr">
        <is>
          <t>https://w3id.org/pmd/matsus/TextileMaterialFlowProcess</t>
        </is>
      </c>
      <c r="E34" s="33" t="inlineStr">
        <is>
          <t>A material flow process whose primary moving material entities are textile materials or textile products.</t>
        </is>
      </c>
      <c r="F34" s="33" t="inlineStr">
        <is>
          <t>MatSus material flow process</t>
        </is>
      </c>
      <c r="G34" s="33" t="inlineStr">
        <is>
          <t>DEFER ? parent and LOG boundary remain unsettled.</t>
        </is>
      </c>
      <c r="H34" s="33" t="inlineStr">
        <is>
          <t>MEDIUM</t>
        </is>
      </c>
      <c r="I34" s="33" t="inlineStr">
        <is>
          <t>No MatSus axiom in Batch 3.</t>
        </is>
      </c>
      <c r="J34" s="33" t="inlineStr">
        <is>
          <t>Defer with MaterialFlowProcess.</t>
        </is>
      </c>
      <c r="K34" s="33" t="inlineStr">
        <is>
          <t>LOG review later</t>
        </is>
      </c>
      <c r="L34" s="33" t="inlineStr">
        <is>
          <t>DEFERRED ? NOT IN BATCH 3</t>
        </is>
      </c>
      <c r="M34" s="33" t="n"/>
      <c r="N34" s="33" t="inlineStr">
        <is>
          <t>TextileMaterialFlowProcess remains outside Batch 3 with its unsettled parent.</t>
        </is>
      </c>
      <c r="Q34" s="33" t="inlineStr">
        <is>
          <t>CONFIRMED ABSENT FROM MATSUS-EDIT 2026-09-07.</t>
        </is>
      </c>
    </row>
    <row r="35" ht="92" customHeight="1">
      <c r="A35" s="33" t="inlineStr">
        <is>
          <t>MKB-000150</t>
        </is>
      </c>
      <c r="B35" s="33" t="inlineStr">
        <is>
          <t>MatSus</t>
        </is>
      </c>
      <c r="C35" s="33" t="inlineStr">
        <is>
          <t>virgin material</t>
        </is>
      </c>
      <c r="D35" s="33" t="inlineStr">
        <is>
          <t>https://w3id.org/pmd/matsus/MATSUS_0000030</t>
        </is>
      </c>
      <c r="E35" s="33" t="inlineStr">
        <is>
          <t>A material that has never been processed into any form of an end-use product.</t>
        </is>
      </c>
      <c r="F35" s="33" t="inlineStr">
        <is>
          <t>PMDco material (https://w3id.org/pmd/co/PMD_0000000)</t>
        </is>
      </c>
      <c r="G35" s="33" t="inlineStr">
        <is>
          <t>ACCEPT ? ISO-grounded positive definition approved; use existing SecondaryMaterial and do not define a complement class.</t>
        </is>
      </c>
      <c r="H35" s="33" t="inlineStr">
        <is>
          <t>HIGH</t>
        </is>
      </c>
      <c r="I35" s="33" t="inlineStr">
        <is>
          <t>MATSUS_0000030 SubClassOf PMD_0000000.</t>
        </is>
      </c>
      <c r="J35" s="33" t="inlineStr">
        <is>
          <t>Later: add recovered-content, composition, and proportion axioms only from an approved competency query.</t>
        </is>
      </c>
      <c r="K35" s="33" t="n"/>
      <c r="L35" s="33" t="inlineStr">
        <is>
          <t>IMPLEMENTED IN MATSUS-EDIT (MKB1 IR2 BATCH 3)</t>
        </is>
      </c>
      <c r="M35" s="33" t="n"/>
      <c r="N35" s="33" t="inlineStr">
        <is>
          <t>Use the existing positive SecondaryMaterial class MATSUS_0000003. Do not create NonVirginMaterial or model non-virgin material as the complement of VirginMaterial.</t>
        </is>
      </c>
      <c r="O35" s="33" t="inlineStr">
        <is>
          <t>MKB-000150; SRC-002 Ellen MacArthur Foundation; ISO 21067-2:2015 terminology as reproduced in ISO/DIS 15270-1; Batch 3 planning report.</t>
        </is>
      </c>
      <c r="P35" s="33" t="inlineStr">
        <is>
          <t>new MatSus subclass of PMDco material</t>
        </is>
      </c>
      <c r="Q35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  <row r="36" ht="42" customHeight="1">
      <c r="A36" s="33" t="inlineStr">
        <is>
          <t>MKB-000016</t>
        </is>
      </c>
      <c r="B36" s="33" t="inlineStr">
        <is>
          <t>MatSus provisional; PMDco candidate</t>
        </is>
      </c>
      <c r="C36" s="33" t="inlineStr">
        <is>
          <t>feedstock role</t>
        </is>
      </c>
      <c r="D36" s="33" t="inlineStr">
        <is>
          <t>https://w3id.org/pmd/matsus/FeedstockRole</t>
        </is>
      </c>
      <c r="E36" s="33" t="inlineStr">
        <is>
          <t>A material resource role borne by a material entity when that entity is intended to be consumed, transformed, or incorporated as an input in a manufacturing, recycling, or material-processing process.</t>
        </is>
      </c>
      <c r="F36" s="33" t="inlineStr">
        <is>
          <t>LOG material resource role (LOG_1000106)</t>
        </is>
      </c>
      <c r="G36" s="33" t="inlineStr">
        <is>
          <t>EXTERNAL_ISSUE_DEPENDENT ? await PMDco #486; reuse upstream if accepted, otherwise reconsider a local MatSus class.</t>
        </is>
      </c>
      <c r="H36" s="33" t="inlineStr">
        <is>
          <t>HIGH</t>
        </is>
      </c>
      <c r="I36" s="33" t="inlineStr">
        <is>
          <t>No MatSus axiom in Batch 3.</t>
        </is>
      </c>
      <c r="J36" s="33" t="inlineStr">
        <is>
          <t>Await PMDco #486 and its PMDco/LOG placement decision.</t>
        </is>
      </c>
      <c r="K36" s="33" t="inlineStr">
        <is>
          <t>https://github.com/materialdigital/core-ontology/issues/486</t>
        </is>
      </c>
      <c r="L36" s="33" t="inlineStr">
        <is>
          <t>NOT IMPLEMENTED ? EXTERNAL ISSUE DEPENDENT</t>
        </is>
      </c>
      <c r="M36" s="33" t="n"/>
      <c r="N36" s="33" t="inlineStr">
        <is>
          <t>Deferred pending PMDco #486.</t>
        </is>
      </c>
      <c r="Q36" s="33" t="inlineStr">
        <is>
          <t>CONFIRMED ABSENT FROM MATSUS-EDIT 2026-09-07.</t>
        </is>
      </c>
    </row>
    <row r="37" ht="42" customHeight="1">
      <c r="A37" s="33" t="inlineStr">
        <is>
          <t>MKB-000059</t>
        </is>
      </c>
      <c r="B37" s="33" t="inlineStr">
        <is>
          <t>MatSus</t>
        </is>
      </c>
      <c r="C37" s="33" t="inlineStr">
        <is>
          <t>collection system</t>
        </is>
      </c>
      <c r="D37" s="33" t="inlineStr">
        <is>
          <t>https://w3id.org/pmd/matsus/MATSUS_0000014</t>
        </is>
      </c>
      <c r="E37" s="33" t="inlineStr">
        <is>
          <t>An object aggregate whose members are organized to enable one or more collection processes.</t>
        </is>
      </c>
      <c r="F37" s="33" t="inlineStr">
        <is>
          <t>BFO object aggregate (http://purl.obolibrary.org/obo/BFO_0000027)</t>
        </is>
      </c>
      <c r="G37" s="33" t="inlineStr">
        <is>
          <t>ACCEPT PROVISIONALLY — appropriate if the intended system is a material aggregate; hierarchy should be revisited when member, agent, function or realized-process queries become central.</t>
        </is>
      </c>
      <c r="H37" s="33" t="inlineStr">
        <is>
          <t>MEDIUM</t>
        </is>
      </c>
      <c r="I37" s="33" t="inlineStr">
        <is>
          <t>MATSUS_0000014 SubClassOf BFO_0000027.</t>
        </is>
      </c>
      <c r="J37" s="33" t="inlineStr">
        <is>
          <t>Later: model members/components, enabling function, responsible agent, and collection processes when those queries become central.</t>
        </is>
      </c>
      <c r="K37" s="33" t="n"/>
      <c r="L37" s="33" t="inlineStr">
        <is>
          <t>IMPLEMENTED IN MATSUS-EDIT (MKB1 IR2 BATCH 2)</t>
        </is>
      </c>
      <c r="M37" s="33" t="n"/>
      <c r="N37" s="33" t="inlineStr">
        <is>
          <t>The object-aggregate parent is provisional. Do not introduce a universal generic System class.</t>
        </is>
      </c>
      <c r="O37" s="33" t="inlineStr">
        <is>
          <t>MKB-000059; IR2 Tracker row 2; Class Review row 37.</t>
        </is>
      </c>
      <c r="P37" s="33" t="inlineStr">
        <is>
          <t>new MatSus subclass of BFO object aggregate</t>
        </is>
      </c>
      <c r="Q37" s="33" t="inlineStr">
        <is>
          <t>VALIDATED 2026-09-04 — syntax, import closure, ODK full build, ELK, local OWL 2 DL, IDs, declarations, parents, restrictions, imports, and four repository SPARQL rules pass; full-closure profile is identical to main baseline; DC rule and ROBOT warnings are baseline-explained.</t>
        </is>
      </c>
    </row>
    <row r="38" ht="42" customHeight="1">
      <c r="A38" s="33" t="inlineStr">
        <is>
          <t>MKB-000168</t>
        </is>
      </c>
      <c r="B38" s="33" t="inlineStr">
        <is>
          <t>PMDco</t>
        </is>
      </c>
      <c r="C38" s="33" t="inlineStr">
        <is>
          <t>product specification</t>
        </is>
      </c>
      <c r="D38" s="33" t="inlineStr">
        <is>
          <t>PMDco IRI pending</t>
        </is>
      </c>
      <c r="E38" s="33" t="inlineStr">
        <is>
          <t>A specification document that communicates descriptive or directive information about the composition, structure, configuration, characteristics, performance, requirements, or constraints of a product.</t>
        </is>
      </c>
      <c r="F38" s="33" t="inlineStr">
        <is>
          <t>PMDco specification document (proposed)</t>
        </is>
      </c>
      <c r="G38" s="33" t="inlineStr">
        <is>
          <t>EXTERNAL PROPOSAL ACCEPTED — definition and proposed parent are coherent; await PMDco issue #487. Do not mint a MatSus duplicate.</t>
        </is>
      </c>
      <c r="H38" s="33" t="inlineStr">
        <is>
          <t>HIGH</t>
        </is>
      </c>
      <c r="I38" s="33" t="inlineStr">
        <is>
          <t>No MatSus axiom. Proposed PMDco subclass of specification document.</t>
        </is>
      </c>
      <c r="J38" s="33" t="inlineStr">
        <is>
          <t>PMDco decides final IRI, scope and relation to device/material specification.</t>
        </is>
      </c>
      <c r="K38" s="33" t="inlineStr">
        <is>
          <t>https://github.com/materialdigital/core-ontology/issues/487</t>
        </is>
      </c>
      <c r="L38" s="33" t="inlineStr">
        <is>
          <t>ISSUE_SUBMITTED</t>
        </is>
      </c>
      <c r="M38" s="33" t="n"/>
      <c r="N38" s="33" t="n"/>
    </row>
    <row r="39" ht="42" customHeight="1">
      <c r="A39" s="33" t="inlineStr">
        <is>
          <t>MKB-000028 external generic anchor</t>
        </is>
      </c>
      <c r="B39" s="33" t="inlineStr">
        <is>
          <t>PMDco</t>
        </is>
      </c>
      <c r="C39" s="33" t="inlineStr">
        <is>
          <t>design specification</t>
        </is>
      </c>
      <c r="D39" s="33" t="inlineStr">
        <is>
          <t>PMDco IRI pending</t>
        </is>
      </c>
      <c r="E39" s="33" t="inlineStr">
        <is>
          <t>A specification document that communicates descriptive or directive information about the characteristics, structure, configuration, principles, requirements, or constraints of an intentionally created entity.</t>
        </is>
      </c>
      <c r="F39" s="33" t="inlineStr">
        <is>
          <t>PMDco specification document (proposed)</t>
        </is>
      </c>
      <c r="G39" s="33" t="inlineStr">
        <is>
          <t>EXTERNAL PROPOSAL ACCEPTED — mixed descriptive/directive scope addresses the limitation of a directive-only parent; await PMDco issue #488.</t>
        </is>
      </c>
      <c r="H39" s="33" t="inlineStr">
        <is>
          <t>HIGH</t>
        </is>
      </c>
      <c r="I39" s="33" t="inlineStr">
        <is>
          <t>No additional MatSus axiom now. Proposed PMDco subclass of specification document.</t>
        </is>
      </c>
      <c r="J39" s="33" t="inlineStr">
        <is>
          <t>If accepted, reparent the MatSus circular design specialization to this PMDco class.</t>
        </is>
      </c>
      <c r="K39" s="33" t="inlineStr">
        <is>
          <t>https://github.com/materialdigital/core-ontology/issues/488</t>
        </is>
      </c>
      <c r="L39" s="33" t="inlineStr">
        <is>
          <t>ISSUE_SUBMITTED</t>
        </is>
      </c>
      <c r="M39" s="33" t="n"/>
      <c r="N39" s="33" t="n"/>
    </row>
    <row r="40" ht="28" customHeight="1">
      <c r="A40" s="33" t="inlineStr">
        <is>
          <t>MKB-000217</t>
        </is>
      </c>
      <c r="B40" s="33" t="inlineStr">
        <is>
          <t>LOG</t>
        </is>
      </c>
      <c r="C40" s="33" t="inlineStr">
        <is>
          <t>reverse logistics process</t>
        </is>
      </c>
      <c r="D40" s="33" t="inlineStr">
        <is>
          <t>LOG IRI pending</t>
        </is>
      </c>
      <c r="E40" s="33" t="inlineStr">
        <is>
          <t>No final definition approved yet; formulate it in the future LOG issue using return-flow/take-back examples.</t>
        </is>
      </c>
      <c r="F40" s="33" t="inlineStr">
        <is>
          <t>LOG logistics process (LOG_1000120)</t>
        </is>
      </c>
      <c r="G40" s="33" t="inlineStr">
        <is>
          <t>EXTERNAL PARENT ACCEPTED; DEFINITION DEFERRED — the corrected concept is reverse logistics process, but the final wording belongs in the LOG issue.</t>
        </is>
      </c>
      <c r="H40" s="33" t="inlineStr">
        <is>
          <t>MEDIUM</t>
        </is>
      </c>
      <c r="I40" s="33" t="inlineStr">
        <is>
          <t>No MatSus axiom and no local duplicate. Proposed LOG subclass of logistics process.</t>
        </is>
      </c>
      <c r="J40" s="33" t="inlineStr">
        <is>
          <t>Later: define the reverse/return-flow criterion and scope using take-back, return, recovery and upstream-flow examples.</t>
        </is>
      </c>
      <c r="K40" s="33" t="inlineStr">
        <is>
          <t>LOG issue pending</t>
        </is>
      </c>
      <c r="L40" s="33" t="inlineStr">
        <is>
          <t>LOG_ISSUE_PENDING</t>
        </is>
      </c>
      <c r="M40" s="33" t="n"/>
      <c r="N40" s="33" t="n"/>
    </row>
    <row r="41" ht="92" customHeight="1">
      <c r="A41" s="33" t="inlineStr">
        <is>
          <t>MKB-000175 supporting anchor</t>
        </is>
      </c>
      <c r="B41" s="33" t="inlineStr">
        <is>
          <t>MatSus</t>
        </is>
      </c>
      <c r="C41" s="33" t="inlineStr">
        <is>
          <t>recovered material</t>
        </is>
      </c>
      <c r="D41" s="33" t="inlineStr">
        <is>
          <t>https://w3id.org/pmd/matsus/RecoveredMaterial</t>
        </is>
      </c>
      <c r="E41" s="33" t="inlineStr">
        <is>
          <t>A material obtained through a material-recovery process from material that had been discarded, become waste, or left its preceding use, and that is made available for further use.</t>
        </is>
      </c>
      <c r="F41" s="33" t="inlineStr">
        <is>
          <t>PMDco material (PMD_0000000)</t>
        </is>
      </c>
      <c r="G41" s="33" t="inlineStr">
        <is>
          <t>ACCEPT — material-recovery provenance is represented separately from the contextual waste role; recovered material is not a subclass of waste material.</t>
        </is>
      </c>
      <c r="H41" s="33" t="inlineStr">
        <is>
          <t>HIGH</t>
        </is>
      </c>
      <c r="I41" s="33" t="inlineStr">
        <is>
          <t>RecoveredMaterial SubClassOf PMDco material.</t>
        </is>
      </c>
      <c r="J41" s="33" t="inlineStr">
        <is>
          <t>Later: link the material to its recovery process/history. Do not add disjointness or a complement axiom.</t>
        </is>
      </c>
      <c r="K41" s="33" t="n"/>
      <c r="L41" s="33" t="inlineStr">
        <is>
          <t>DRAFT READY; NOT IN CURRENT SOURCE</t>
        </is>
      </c>
      <c r="M41" s="33" t="inlineStr">
        <is>
          <t>Human accepted this class after the MKB1 human gate; add it to the IR2 implementation package.</t>
        </is>
      </c>
      <c r="N41" s="33" t="inlineStr">
        <is>
          <t>Post-gate accepted material anchor. A material can cease to bear a waste role while retaining its recovery provenance.</t>
        </is>
      </c>
    </row>
    <row r="42" ht="92" customHeight="1">
      <c r="A42" s="33" t="inlineStr">
        <is>
          <t>MKB-000175</t>
        </is>
      </c>
      <c r="B42" s="33" t="inlineStr">
        <is>
          <t>MatSus</t>
        </is>
      </c>
      <c r="C42" s="33" t="inlineStr">
        <is>
          <t>recycled material</t>
        </is>
      </c>
      <c r="D42" s="33" t="inlineStr">
        <is>
          <t>https://w3id.org/pmd/matsus/RecycledMaterial</t>
        </is>
      </c>
      <c r="E42" s="33" t="inlineStr">
        <is>
          <t>A recovered material produced through a recycling process in which waste material is reprocessed into a product, material, or substance for its original or another purpose.</t>
        </is>
      </c>
      <c r="F42" s="33" t="inlineStr">
        <is>
          <t>MatSus recovered material</t>
        </is>
      </c>
      <c r="G42" s="33" t="inlineStr">
        <is>
          <t>ACCEPT — process-history specialization of recovered material; it may overlap with secondary material.</t>
        </is>
      </c>
      <c r="H42" s="33" t="inlineStr">
        <is>
          <t>HIGH</t>
        </is>
      </c>
      <c r="I42" s="33" t="inlineStr">
        <is>
          <t>RecycledMaterial SubClassOf RecoveredMaterial.</t>
        </is>
      </c>
      <c r="J42" s="33" t="inlineStr">
        <is>
          <t>Later: link to the recycling process/history. Do not assert disjointness from SecondaryMaterial.</t>
        </is>
      </c>
      <c r="K42" s="33" t="inlineStr">
        <is>
          <t>RecoveredMaterial</t>
        </is>
      </c>
      <c r="L42" s="33" t="inlineStr">
        <is>
          <t>DRAFT READY; NOT IN CURRENT SOURCE</t>
        </is>
      </c>
      <c r="M42" s="33" t="inlineStr">
        <is>
          <t>Human accepted this class after the MKB1 human gate; add it to the IR2 implementation package.</t>
        </is>
      </c>
      <c r="N42" s="33" t="inlineStr">
        <is>
          <t>Post-gate accepted. RecycledMaterial and SecondaryMaterial are not exclusive categories.</t>
        </is>
      </c>
    </row>
    <row r="43" ht="92" customHeight="1">
      <c r="A43" s="33" t="inlineStr">
        <is>
          <t>MKB-000223</t>
        </is>
      </c>
      <c r="B43" s="33" t="inlineStr">
        <is>
          <t>MatSus</t>
        </is>
      </c>
      <c r="C43" s="33" t="inlineStr">
        <is>
          <t>secondary material</t>
        </is>
      </c>
      <c r="D43" s="33" t="inlineStr">
        <is>
          <t>https://w3id.org/pmd/matsus/SecondaryMaterial</t>
        </is>
      </c>
      <c r="E43" s="33" t="inlineStr">
        <is>
          <t>A recovered material suitable for use in manufacturing or material processing instead of or alongside virgin material.</t>
        </is>
      </c>
      <c r="F43" s="33" t="inlineStr">
        <is>
          <t>MatSus recovered material</t>
        </is>
      </c>
      <c r="G43" s="33" t="inlineStr">
        <is>
          <t>ACCEPT — use/status specialization; sibling of recycled material and allowed to overlap it.</t>
        </is>
      </c>
      <c r="H43" s="33" t="inlineStr">
        <is>
          <t>HIGH</t>
        </is>
      </c>
      <c r="I43" s="33" t="inlineStr">
        <is>
          <t>SecondaryMaterial SubClassOf RecoveredMaterial.</t>
        </is>
      </c>
      <c r="J43" s="33" t="inlineStr">
        <is>
          <t>Later: represent suitability or intended use only when a stable relation pattern is selected. Do not assert disjointness from RecycledMaterial.</t>
        </is>
      </c>
      <c r="K43" s="33" t="inlineStr">
        <is>
          <t>RecoveredMaterial</t>
        </is>
      </c>
      <c r="L43" s="33" t="inlineStr">
        <is>
          <t>DRAFT READY; NOT IN CURRENT SOURCE</t>
        </is>
      </c>
      <c r="M43" s="33" t="inlineStr">
        <is>
          <t>Human accepted this class after the MKB1 human gate; add it to the IR2 implementation package.</t>
        </is>
      </c>
      <c r="N43" s="33" t="inlineStr">
        <is>
          <t>Post-gate accepted as a positive material category rather than a complement of VirginMaterial.</t>
        </is>
      </c>
    </row>
    <row r="44" ht="92" customHeight="1">
      <c r="A44" s="33" t="inlineStr">
        <is>
          <t>MKB-000180 supporting anchor</t>
        </is>
      </c>
      <c r="B44" s="33" t="inlineStr">
        <is>
          <t>MatSus</t>
        </is>
      </c>
      <c r="C44" s="33" t="inlineStr">
        <is>
          <t>material sustainability assessment</t>
        </is>
      </c>
      <c r="D44" s="33" t="inlineStr">
        <is>
          <t>https://w3id.org/pmd/matsus/MaterialSustainabilityAssessment</t>
        </is>
      </c>
      <c r="E44" s="33" t="inlineStr">
        <is>
          <t>An assay intended to produce information for evaluating one or more sustainability-related aspects of a material, product, process, or material lifecycle system.</t>
        </is>
      </c>
      <c r="F44" s="33" t="inlineStr">
        <is>
          <t>OBI assay (OBI_0000070)</t>
        </is>
      </c>
      <c r="G44" s="33" t="inlineStr">
        <is>
          <t>ACCEPT PROVISIONALLY — a thin MatSus assessment umbrella is justified, but it must be reconciled with the dedicated assessment batch.</t>
        </is>
      </c>
      <c r="H44" s="33" t="inlineStr">
        <is>
          <t>MEDIUM</t>
        </is>
      </c>
      <c r="I44" s="33" t="inlineStr">
        <is>
          <t>MaterialSustainabilityAssessment SubClassOf OBI assay.</t>
        </is>
      </c>
      <c r="J44" s="33" t="inlineStr">
        <is>
          <t>Later: reconcile with SRC-007, SRC-009 and CLEO during Batch 2; add no further logical restrictions now.</t>
        </is>
      </c>
      <c r="K44" s="33" t="inlineStr">
        <is>
          <t>SRC-007 / SRC-009 / CLEO — Batch 2 reconciliation</t>
        </is>
      </c>
      <c r="L44" s="33" t="inlineStr">
        <is>
          <t>PROVISIONAL DRAFT READY; NOT IN CURRENT SOURCE</t>
        </is>
      </c>
      <c r="M44" s="33" t="inlineStr">
        <is>
          <t>Human accepted this class after the MKB1 human gate; add it to the IR2 implementation package.</t>
        </is>
      </c>
      <c r="N44" s="33" t="inlineStr">
        <is>
          <t>Post-gate accepted provisionally as the parent needed for resource-input reduction assessment.</t>
        </is>
      </c>
    </row>
    <row r="45" ht="92" customHeight="1">
      <c r="A45" s="33" t="inlineStr">
        <is>
          <t>MKB-000180 supporting class</t>
        </is>
      </c>
      <c r="B45" s="33" t="inlineStr">
        <is>
          <t>MatSus</t>
        </is>
      </c>
      <c r="C45" s="33" t="inlineStr">
        <is>
          <t>resource-input reduction assessment</t>
        </is>
      </c>
      <c r="D45" s="33" t="inlineStr">
        <is>
          <t>https://w3id.org/pmd/matsus/ResourceInputReductionAssessment</t>
        </is>
      </c>
      <c r="E45" s="33" t="inlineStr">
        <is>
          <t>A material sustainability assessment intended to determine or quantify whether, and to what extent, material input has been reduced relative to a stated baseline under specified comparison conditions.</t>
        </is>
      </c>
      <c r="F45" s="33" t="inlineStr">
        <is>
          <t>MatSus material sustainability assessment</t>
        </is>
      </c>
      <c r="G45" s="33" t="inlineStr">
        <is>
          <t>ACCEPT — this is the evidential assessment counterpart of the reduction process and objective specification.</t>
        </is>
      </c>
      <c r="H45" s="33" t="inlineStr">
        <is>
          <t>HIGH</t>
        </is>
      </c>
      <c r="I45" s="33" t="inlineStr">
        <is>
          <t>ResourceInputReductionAssessment SubClassOf MaterialSustainabilityAssessment.</t>
        </is>
      </c>
      <c r="J45" s="33" t="inlineStr">
        <is>
          <t>Later: model the evaluated process or system, baseline, comparison conditions and output datum.</t>
        </is>
      </c>
      <c r="K45" s="33" t="inlineStr">
        <is>
          <t>MaterialSustainabilityAssessment</t>
        </is>
      </c>
      <c r="L45" s="33" t="inlineStr">
        <is>
          <t>DRAFT READY; NOT IN CURRENT SOURCE</t>
        </is>
      </c>
      <c r="M45" s="33" t="inlineStr">
        <is>
          <t>Human accepted this class after the MKB1 human gate; add it to the IR2 implementation package.</t>
        </is>
      </c>
      <c r="N45" s="33" t="inlineStr">
        <is>
          <t>Post-gate accepted. Keep assessment distinct from the process and its objective specification.</t>
        </is>
      </c>
    </row>
    <row r="46" ht="92" customHeight="1">
      <c r="A46" s="33" t="inlineStr">
        <is>
          <t>MKB-000180 supporting class</t>
        </is>
      </c>
      <c r="B46" s="33" t="inlineStr">
        <is>
          <t>MatSus</t>
        </is>
      </c>
      <c r="C46" s="33" t="inlineStr">
        <is>
          <t>resource-input reduction objective specification</t>
        </is>
      </c>
      <c r="D46" s="33" t="inlineStr">
        <is>
          <t>https://w3id.org/pmd/matsus/ResourceInputReductionObjectiveSpecification</t>
        </is>
      </c>
      <c r="E46" s="33" t="inlineStr">
        <is>
          <t>An objective specification that specifies an intended reduction, relative to a stated baseline and under specified comparison conditions, in the quantity of material input required or used by a specified process or system.</t>
        </is>
      </c>
      <c r="F46" s="33" t="inlineStr">
        <is>
          <t>IAO objective specification (IAO_0000005)</t>
        </is>
      </c>
      <c r="G46" s="33" t="inlineStr">
        <is>
          <t>ACCEPT — this represents the intended reduction target; no separate resource-input reduction strategy specification is required.</t>
        </is>
      </c>
      <c r="H46" s="33" t="inlineStr">
        <is>
          <t>HIGH</t>
        </is>
      </c>
      <c r="I46" s="33" t="inlineStr">
        <is>
          <t>ResourceInputReductionObjectiveSpecification SubClassOf IAO objective specification.</t>
        </is>
      </c>
      <c r="J46" s="33" t="inlineStr">
        <is>
          <t>Later: relate it to the targeted process or system, baseline, reduction amount and unit.</t>
        </is>
      </c>
      <c r="K46" s="33" t="n"/>
      <c r="L46" s="33" t="inlineStr">
        <is>
          <t>DRAFT READY; NOT IN CURRENT SOURCE</t>
        </is>
      </c>
      <c r="M46" s="33" t="inlineStr">
        <is>
          <t>Human accepted this class after the MKB1 human gate; add it to the IR2 implementation package.</t>
        </is>
      </c>
      <c r="N46" s="33" t="inlineStr">
        <is>
          <t>Example: reduce virgin aluminium input by 20% relative to the 2025 baseline.</t>
        </is>
      </c>
    </row>
    <row r="47" ht="58" customHeight="1">
      <c r="A47" s="33" t="inlineStr">
        <is>
          <t>Human-gate refinement derived from MKB-000184 review</t>
        </is>
      </c>
      <c r="B47" s="33" t="inlineStr">
        <is>
          <t>MatSus</t>
        </is>
      </c>
      <c r="C47" s="33" t="inlineStr">
        <is>
          <t>refusal strategy specification</t>
        </is>
      </c>
      <c r="D47" s="33" t="inlineStr">
        <is>
          <t>https://w3id.org/pmd/matsus/MATSUS_0000039</t>
        </is>
      </c>
      <c r="E47" s="33" t="inlineStr">
        <is>
          <t>A plan specification that prescribes product, packaging, or service features intended to enable or encourage a refusal process and thereby avoid material use or waste generation.</t>
        </is>
      </c>
      <c r="F47" s="33" t="inlineStr">
        <is>
          <t>IAO plan specification (http://purl.obolibrary.org/obo/IAO_0000104)</t>
        </is>
      </c>
      <c r="G47" s="33" t="inlineStr">
        <is>
          <t>ACCEPT ? human-gate modelling refinement; plan specification distinct from the actual refusal occurrence.</t>
        </is>
      </c>
      <c r="H47" s="33" t="inlineStr">
        <is>
          <t>HIGH</t>
        </is>
      </c>
      <c r="I47" s="33" t="inlineStr">
        <is>
          <t>MATSUS_0000039 SubClassOf IAO_0000104.</t>
        </is>
      </c>
      <c r="J47" s="33" t="inlineStr">
        <is>
          <t>Later: relate to refusal processes, resource-input-reduction objectives, design specifications, affected product features, and realization. No logical relation to RefusalProcess in Batch 3.</t>
        </is>
      </c>
      <c r="K47" s="33" t="n"/>
      <c r="L47" s="33" t="inlineStr">
        <is>
          <t>IMPLEMENTED IN MATSUS-EDIT (MKB1 IR2 BATCH 3)</t>
        </is>
      </c>
      <c r="M47" s="33" t="inlineStr">
        <is>
          <t>Additional human-gate modelling refinement; not a seventeenth original source candidate.</t>
        </is>
      </c>
      <c r="N47" s="33" t="inlineStr">
        <is>
          <t>Examples are recorded in the ontology rdfs:comment. This human-gate addition remains separate from RefusalProcess; all process/specification relations are deferred.</t>
        </is>
      </c>
      <c r="O47" s="33" t="inlineStr">
        <is>
          <t>Human-gate modelling refinement derived from the MKB-000184 RefusalProcess review and the 2026-09-04 Batch 3 review; not an original MKB source candidate.</t>
        </is>
      </c>
      <c r="P47" s="33" t="inlineStr">
        <is>
          <t>new MatSus subclass of IAO plan specification</t>
        </is>
      </c>
      <c r="Q47" s="33" t="inlineStr">
        <is>
          <t>VALIDATED 2026-09-07 ? Functional Syntax parsing, catalog merge, ODK-compatible full build with ROBOT 1.9.10, ELK consistency, local and merged OWL 2 DL, ID policy, exact declarations, parents, annotations and logical axioms, imports, and all five repository SPARQL checks pass; ROBOT report has 58 warnings versus 45 on main, with the +13 exactly the expected missing_definition rule mismatch for English SKOS definitions.</t>
        </is>
      </c>
    </row>
  </sheetData>
  <conditionalFormatting sqref="G2:G40">
    <cfRule type="containsText" priority="1" operator="containsText" dxfId="2" text="REVISE"/>
    <cfRule type="containsText" priority="2" operator="containsText" dxfId="1" text="PROVISIONALLY"/>
    <cfRule type="containsText" priority="3" operator="containsText" dxfId="0" text="ACCEPT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4"/>
  <cols>
    <col width="14" customWidth="1" min="1" max="1"/>
    <col width="34" customWidth="1" min="2" max="2"/>
    <col width="16" customWidth="1" min="3" max="3"/>
    <col width="28" customWidth="1" min="4" max="4"/>
    <col width="72" customWidth="1" min="5" max="5"/>
  </cols>
  <sheetData>
    <row r="1">
      <c r="A1" s="1" t="inlineStr">
        <is>
          <t>Issue</t>
        </is>
      </c>
      <c r="B1" s="1" t="inlineStr">
        <is>
          <t>Concept</t>
        </is>
      </c>
      <c r="C1" s="1" t="inlineStr">
        <is>
          <t>Target</t>
        </is>
      </c>
      <c r="D1" s="1" t="inlineStr">
        <is>
          <t>Status</t>
        </is>
      </c>
      <c r="E1" s="1" t="inlineStr">
        <is>
          <t>URL / note</t>
        </is>
      </c>
    </row>
    <row r="2">
      <c r="A2" s="24" t="inlineStr">
        <is>
          <t>#485</t>
        </is>
      </c>
      <c r="B2" s="24" t="inlineStr">
        <is>
          <t>waste role + waste material</t>
        </is>
      </c>
      <c r="C2" s="24" t="inlineStr">
        <is>
          <t>PMDco</t>
        </is>
      </c>
      <c r="D2" s="24" t="inlineStr">
        <is>
          <t>ISSUE_SUBMITTED</t>
        </is>
      </c>
      <c r="E2" s="24" t="inlineStr">
        <is>
          <t>https://github.com/materialdigital/core-ontology/issues/485</t>
        </is>
      </c>
    </row>
    <row r="3">
      <c r="A3" s="24" t="inlineStr">
        <is>
          <t>#486</t>
        </is>
      </c>
      <c r="B3" s="24" t="inlineStr">
        <is>
          <t>feedstock role</t>
        </is>
      </c>
      <c r="C3" s="24" t="inlineStr">
        <is>
          <t>PMDco</t>
        </is>
      </c>
      <c r="D3" s="24" t="inlineStr">
        <is>
          <t>ISSUE_SUBMITTED</t>
        </is>
      </c>
      <c r="E3" s="24" t="inlineStr">
        <is>
          <t>https://github.com/materialdigital/core-ontology/issues/486</t>
        </is>
      </c>
    </row>
    <row r="4">
      <c r="A4" s="24" t="inlineStr">
        <is>
          <t>#487</t>
        </is>
      </c>
      <c r="B4" s="24" t="inlineStr">
        <is>
          <t>product specification</t>
        </is>
      </c>
      <c r="C4" s="24" t="inlineStr">
        <is>
          <t>PMDco</t>
        </is>
      </c>
      <c r="D4" s="24" t="inlineStr">
        <is>
          <t>ISSUE_SUBMITTED</t>
        </is>
      </c>
      <c r="E4" s="24" t="inlineStr">
        <is>
          <t>https://github.com/materialdigital/core-ontology/issues/487</t>
        </is>
      </c>
    </row>
    <row r="5">
      <c r="A5" s="24" t="inlineStr">
        <is>
          <t>#488</t>
        </is>
      </c>
      <c r="B5" s="24" t="inlineStr">
        <is>
          <t>design specification</t>
        </is>
      </c>
      <c r="C5" s="24" t="inlineStr">
        <is>
          <t>PMDco</t>
        </is>
      </c>
      <c r="D5" s="24" t="inlineStr">
        <is>
          <t>ISSUE_SUBMITTED</t>
        </is>
      </c>
      <c r="E5" s="24" t="inlineStr">
        <is>
          <t>https://github.com/materialdigital/core-ontology/issues/488</t>
        </is>
      </c>
    </row>
    <row r="6">
      <c r="A6" s="24" t="inlineStr">
        <is>
          <t>Pending</t>
        </is>
      </c>
      <c r="B6" s="24" t="inlineStr">
        <is>
          <t>reverse logistics process</t>
        </is>
      </c>
      <c r="C6" s="24" t="inlineStr">
        <is>
          <t>LOG</t>
        </is>
      </c>
      <c r="D6" s="24" t="inlineStr">
        <is>
          <t>LOG_ISSUE_PENDING</t>
        </is>
      </c>
      <c r="E6" s="24" t="inlineStr">
        <is>
          <t>Contribution route and issue URL still to be determined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2026-09-01T12:55:49Z</dcterms:created>
  <dcterms:modified xsi:type="dcterms:W3CDTF">2026-09-07T10:53:24Z</dcterms:modified>
</cp:coreProperties>
</file>